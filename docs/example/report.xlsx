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тог" sheetId="1" state="visible" r:id="rId1"/>
    <sheet xmlns:r="http://schemas.openxmlformats.org/officeDocument/2006/relationships" name="По годам" sheetId="2" state="visible" r:id="rId2"/>
    <sheet xmlns:r="http://schemas.openxmlformats.org/officeDocument/2006/relationships" name="Затраты" sheetId="3" state="visible" r:id="rId3"/>
    <sheet xmlns:r="http://schemas.openxmlformats.org/officeDocument/2006/relationships" name="Что будет, если" sheetId="4" state="visible" r:id="rId4"/>
    <sheet xmlns:r="http://schemas.openxmlformats.org/officeDocument/2006/relationships" name="Парк и штат" sheetId="5" state="visible" r:id="rId5"/>
    <sheet xmlns:r="http://schemas.openxmlformats.org/officeDocument/2006/relationships" name="Цена операции" sheetId="6" state="visible" r:id="rId6"/>
    <sheet xmlns:r="http://schemas.openxmlformats.org/officeDocument/2006/relationships" name="Вопросы поставщику" sheetId="7" state="visible" r:id="rId7"/>
    <sheet xmlns:r="http://schemas.openxmlformats.org/officeDocument/2006/relationships" name="Смена" sheetId="8" state="visible" r:id="rId8"/>
    <sheet xmlns:r="http://schemas.openxmlformats.org/officeDocument/2006/relationships" name="Параметры" sheetId="9" state="visible" r:id="rId9"/>
    <sheet xmlns:r="http://schemas.openxmlformats.org/officeDocument/2006/relationships" name="Источники" sheetId="10" state="visible" r:id="rId10"/>
  </sheets>
  <definedNames>
    <definedName name="_xlnm.Print_Titles" localSheetId="0">'Итог'!$5:$5</definedName>
    <definedName name="_xlnm.Print_Titles" localSheetId="1">'По годам'!$5:$5</definedName>
    <definedName name="_xlnm.Print_Titles" localSheetId="2">'Затраты'!$5:$5</definedName>
    <definedName name="_xlnm.Print_Titles" localSheetId="3">'Что будет, если'!$5:$5</definedName>
    <definedName name="_xlnm.Print_Titles" localSheetId="4">'Парк и штат'!$5:$5</definedName>
    <definedName name="_xlnm.Print_Titles" localSheetId="5">'Цена операции'!$5:$5</definedName>
    <definedName name="_xlnm.Print_Titles" localSheetId="6">'Вопросы поставщику'!$5:$5</definedName>
    <definedName name="_xlnm.Print_Titles" localSheetId="7">'Смена'!$5:$5</definedName>
    <definedName name="_xlnm.Print_Titles" localSheetId="8">'Параметры'!$5:$5</definedName>
    <definedName name="_xlnm.Print_Titles" localSheetId="9">'Источники'!$5:$5</definedName>
  </definedNames>
  <calcPr calcId="124519" fullCalcOnLoad="1"/>
</workbook>
</file>

<file path=xl/styles.xml><?xml version="1.0" encoding="utf-8"?>
<styleSheet xmlns="http://schemas.openxmlformats.org/spreadsheetml/2006/main">
  <numFmts count="6">
    <numFmt numFmtId="164" formatCode="#,##0 &quot;₽&quot;;-#,##0 &quot;₽&quot;;&quot;0 ₽&quot;"/>
    <numFmt numFmtId="165" formatCode="#,##0.0,, &quot;млн ₽&quot;"/>
    <numFmt numFmtId="166" formatCode="0.0"/>
    <numFmt numFmtId="167" formatCode="0.0 &quot;раза&quot;"/>
    <numFmt numFmtId="168" formatCode="#,##0.0"/>
    <numFmt numFmtId="169" formatCode="0.0%"/>
  </numFmts>
  <fonts count="8">
    <font>
      <name val="Calibri"/>
      <family val="2"/>
      <color theme="1"/>
      <sz val="11"/>
      <scheme val="minor"/>
    </font>
    <font>
      <name val="Arial"/>
      <b val="1"/>
      <color rgb="000D141B"/>
      <sz val="14"/>
    </font>
    <font>
      <name val="Arial"/>
      <color rgb="0055636F"/>
      <sz val="9"/>
    </font>
    <font>
      <name val="Arial"/>
      <color rgb="000B4FA8"/>
      <sz val="9"/>
    </font>
    <font>
      <name val="Arial"/>
      <b val="1"/>
      <color rgb="0055636F"/>
      <sz val="9"/>
    </font>
    <font>
      <name val="Arial"/>
      <color rgb="000D141B"/>
      <sz val="10"/>
    </font>
    <font>
      <name val="Arial"/>
      <b val="1"/>
      <color rgb="000D141B"/>
      <sz val="10"/>
    </font>
    <font>
      <name val="Arial"/>
      <b val="1"/>
      <color rgb="000B4FA8"/>
      <sz val="10"/>
    </font>
  </fonts>
  <fills count="2">
    <fill>
      <patternFill/>
    </fill>
    <fill>
      <patternFill patternType="gray125"/>
    </fill>
  </fills>
  <borders count="4">
    <border>
      <left/>
      <right/>
      <top/>
      <bottom/>
      <diagonal/>
    </border>
    <border>
      <bottom style="medium">
        <color rgb="001E4F8E"/>
      </bottom>
    </border>
    <border>
      <bottom style="thin">
        <color rgb="00C9D2DB"/>
      </bottom>
    </border>
    <border>
      <bottom style="thin">
        <color rgb="000D141B"/>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applyAlignment="1" pivotButton="0" quotePrefix="0" xfId="0">
      <alignment horizontal="left" vertical="bottom" wrapText="1"/>
    </xf>
    <xf numFmtId="0" fontId="4" fillId="0" borderId="1" applyAlignment="1" pivotButton="0" quotePrefix="0" xfId="0">
      <alignment horizontal="right" vertical="bottom" wrapText="1"/>
    </xf>
    <xf numFmtId="0" fontId="4" fillId="0" borderId="1" applyAlignment="1" pivotButton="0" quotePrefix="0" xfId="0">
      <alignment horizontal="left" vertical="bottom"/>
    </xf>
    <xf numFmtId="0" fontId="6" fillId="0" borderId="2" applyAlignment="1" pivotButton="0" quotePrefix="0" xfId="0">
      <alignment vertical="top" wrapText="1"/>
    </xf>
    <xf numFmtId="165" fontId="6" fillId="0" borderId="2" applyAlignment="1" pivotButton="0" quotePrefix="0" xfId="0">
      <alignment horizontal="right" vertical="top"/>
    </xf>
    <xf numFmtId="0" fontId="2" fillId="0" borderId="2" applyAlignment="1" pivotButton="0" quotePrefix="0" xfId="0">
      <alignment vertical="top" wrapText="1"/>
    </xf>
    <xf numFmtId="0" fontId="5" fillId="0" borderId="2" applyAlignment="1" pivotButton="0" quotePrefix="0" xfId="0">
      <alignment vertical="top" wrapText="1"/>
    </xf>
    <xf numFmtId="165" fontId="5" fillId="0" borderId="2" applyAlignment="1" pivotButton="0" quotePrefix="0" xfId="0">
      <alignment horizontal="right" vertical="top"/>
    </xf>
    <xf numFmtId="0" fontId="2" fillId="0" borderId="2" applyAlignment="1" pivotButton="0" quotePrefix="0" xfId="0">
      <alignment horizontal="right" vertical="top"/>
    </xf>
    <xf numFmtId="166" fontId="5" fillId="0" borderId="2" applyAlignment="1" pivotButton="0" quotePrefix="0" xfId="0">
      <alignment horizontal="right" vertical="top"/>
    </xf>
    <xf numFmtId="9" fontId="5" fillId="0" borderId="2" applyAlignment="1" pivotButton="0" quotePrefix="0" xfId="0">
      <alignment horizontal="right" vertical="top"/>
    </xf>
    <xf numFmtId="167" fontId="5" fillId="0" borderId="2" applyAlignment="1" pivotButton="0" quotePrefix="0" xfId="0">
      <alignment horizontal="right" vertical="top"/>
    </xf>
    <xf numFmtId="0" fontId="5" fillId="0" borderId="2" applyAlignment="1" pivotButton="0" quotePrefix="0" xfId="0">
      <alignment horizontal="right" vertical="top"/>
    </xf>
    <xf numFmtId="0" fontId="6" fillId="0" borderId="0" pivotButton="0" quotePrefix="0" xfId="0"/>
    <xf numFmtId="0" fontId="5" fillId="0" borderId="0" applyAlignment="1" pivotButton="0" quotePrefix="0" xfId="0">
      <alignment vertical="top" wrapText="1"/>
    </xf>
    <xf numFmtId="164" fontId="5" fillId="0" borderId="2" applyAlignment="1" pivotButton="0" quotePrefix="0" xfId="0">
      <alignment horizontal="right" vertical="top"/>
    </xf>
    <xf numFmtId="0" fontId="5" fillId="0" borderId="3" applyAlignment="1" pivotButton="0" quotePrefix="0" xfId="0">
      <alignment vertical="top" wrapText="1"/>
    </xf>
    <xf numFmtId="164" fontId="5" fillId="0" borderId="3" applyAlignment="1" pivotButton="0" quotePrefix="0" xfId="0">
      <alignment horizontal="right" vertical="top"/>
    </xf>
    <xf numFmtId="0" fontId="5" fillId="0" borderId="2" applyAlignment="1" pivotButton="0" quotePrefix="0" xfId="0">
      <alignment horizontal="right" vertical="top"/>
    </xf>
    <xf numFmtId="2" fontId="5" fillId="0" borderId="2" applyAlignment="1" pivotButton="0" quotePrefix="0" xfId="0">
      <alignment horizontal="right" vertical="top"/>
    </xf>
    <xf numFmtId="0" fontId="6" fillId="0" borderId="2" applyAlignment="1" pivotButton="0" quotePrefix="0" xfId="0">
      <alignment horizontal="right" vertical="top"/>
    </xf>
    <xf numFmtId="2" fontId="6" fillId="0" borderId="2" applyAlignment="1" pivotButton="0" quotePrefix="0" xfId="0">
      <alignment horizontal="right" vertical="top"/>
    </xf>
    <xf numFmtId="164" fontId="6" fillId="0" borderId="2" applyAlignment="1" pivotButton="0" quotePrefix="0" xfId="0">
      <alignment horizontal="right" vertical="top"/>
    </xf>
    <xf numFmtId="1" fontId="5" fillId="0" borderId="2" applyAlignment="1" pivotButton="0" quotePrefix="0" xfId="0">
      <alignment horizontal="right" vertical="top"/>
    </xf>
    <xf numFmtId="166" fontId="5" fillId="0" borderId="2" applyAlignment="1" pivotButton="0" quotePrefix="0" xfId="0">
      <alignment horizontal="right" vertical="top"/>
    </xf>
    <xf numFmtId="0" fontId="4" fillId="0" borderId="1" applyAlignment="1" pivotButton="0" quotePrefix="0" xfId="0">
      <alignment horizontal="left" wrapText="1"/>
    </xf>
    <xf numFmtId="0" fontId="4" fillId="0" borderId="1" applyAlignment="1" pivotButton="0" quotePrefix="0" xfId="0">
      <alignment horizontal="right" wrapText="1"/>
    </xf>
    <xf numFmtId="168" fontId="5" fillId="0" borderId="2" applyAlignment="1" pivotButton="0" quotePrefix="0" xfId="0">
      <alignment horizontal="right" vertical="top"/>
    </xf>
    <xf numFmtId="9" fontId="5" fillId="0" borderId="2" applyAlignment="1" pivotButton="0" quotePrefix="0" xfId="0">
      <alignment horizontal="right" vertical="top"/>
    </xf>
    <xf numFmtId="169" fontId="5" fillId="0" borderId="2" applyAlignment="1" pivotButton="0" quotePrefix="0" xfId="0">
      <alignment horizontal="right" vertical="top"/>
    </xf>
    <xf numFmtId="0" fontId="7" fillId="0"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6" customWidth="1" min="1" max="1"/>
    <col width="16" customWidth="1" min="2" max="2"/>
    <col width="16" customWidth="1" min="3" max="3"/>
    <col width="16" customWidth="1" min="4" max="4"/>
    <col width="50" customWidth="1" min="5" max="5"/>
  </cols>
  <sheetData>
    <row r="1" ht="22" customHeight="1">
      <c r="A1" s="1" t="inlineStr">
        <is>
          <t>Три сценария</t>
        </is>
      </c>
    </row>
    <row r="2">
      <c r="A2" s="2" t="inlineStr">
        <is>
          <t>Склад, перевозка паллет между зонами · Ronavi H1500 (грузоподъемность до 1 500 кг) · расчет от 18.10.2026 22:58 мск · модель 0.2</t>
        </is>
      </c>
    </row>
    <row r="3">
      <c r="A3" s="3" t="inlineStr">
        <is>
          <t>Предварительная оценка, не коммерческое предложение</t>
        </is>
      </c>
    </row>
    <row r="4"/>
    <row r="5">
      <c r="A5" s="4" t="inlineStr">
        <is>
          <t>Показатель</t>
        </is>
      </c>
      <c r="B5" s="5" t="inlineStr">
        <is>
          <t>Без роботов</t>
        </is>
      </c>
      <c r="C5" s="5" t="inlineStr">
        <is>
          <t>Покупка</t>
        </is>
      </c>
      <c r="D5" s="5" t="inlineStr">
        <is>
          <t>Аренда</t>
        </is>
      </c>
      <c r="E5" s="6" t="inlineStr">
        <is>
          <t>Как посчитано</t>
        </is>
      </c>
    </row>
    <row r="6">
      <c r="A6" s="7" t="inlineStr">
        <is>
          <t>Стоимость владения за 5 лет</t>
        </is>
      </c>
      <c r="B6" s="8">
        <f>'По годам'!G11</f>
        <v/>
      </c>
      <c r="C6" s="8">
        <f>'По годам'!G17</f>
        <v/>
      </c>
      <c r="D6" s="8">
        <f>'По годам'!G23</f>
        <v/>
      </c>
      <c r="E6" s="9" t="inlineStr">
        <is>
          <t>Накопленные затраты последнего года на листе "По годам"</t>
        </is>
      </c>
    </row>
    <row r="7">
      <c r="A7" s="10" t="inlineStr">
        <is>
          <t>Вложения на старте</t>
        </is>
      </c>
      <c r="B7" s="11">
        <f>'По годам'!E6</f>
        <v/>
      </c>
      <c r="C7" s="11">
        <f>'По годам'!E12</f>
        <v/>
      </c>
      <c r="D7" s="11">
        <f>'По годам'!E18</f>
        <v/>
      </c>
      <c r="E7" s="9" t="inlineStr">
        <is>
          <t>Год 0 на листе "По годам"</t>
        </is>
      </c>
    </row>
    <row r="8">
      <c r="A8" s="10" t="inlineStr">
        <is>
          <t>Затраты за 5 лет без вложений</t>
        </is>
      </c>
      <c r="B8" s="11">
        <f>B6-B7</f>
        <v/>
      </c>
      <c r="C8" s="11">
        <f>C6-C7</f>
        <v/>
      </c>
      <c r="D8" s="11">
        <f>D6-D7</f>
        <v/>
      </c>
      <c r="E8" s="9" t="inlineStr">
        <is>
          <t>Стоимость владения - вложения на старте</t>
        </is>
      </c>
    </row>
    <row r="9">
      <c r="A9" s="10" t="inlineStr">
        <is>
          <t>Дешевле, чем без роботов</t>
        </is>
      </c>
      <c r="B9" s="12" t="inlineStr">
        <is>
          <t>—</t>
        </is>
      </c>
      <c r="C9" s="11">
        <f>B6-C6</f>
        <v/>
      </c>
      <c r="D9" s="11">
        <f>B6-D6</f>
        <v/>
      </c>
      <c r="E9" s="9" t="inlineStr">
        <is>
          <t>Стоимость владения без роботов - стоимость владения сценария</t>
        </is>
      </c>
    </row>
    <row r="10">
      <c r="A10" s="10" t="inlineStr">
        <is>
          <t>Годовой эффект, первый год</t>
        </is>
      </c>
      <c r="B10" s="12" t="inlineStr">
        <is>
          <t>—</t>
        </is>
      </c>
      <c r="C10" s="11">
        <f>'По годам'!H13</f>
        <v/>
      </c>
      <c r="D10" s="11">
        <f>'По годам'!H19</f>
        <v/>
      </c>
      <c r="E10" s="9" t="inlineStr">
        <is>
          <t>Год 1 на листе "По годам"</t>
        </is>
      </c>
    </row>
    <row r="11">
      <c r="A11" s="10" t="inlineStr">
        <is>
          <t>Окупаемость по ТЗ, лет</t>
        </is>
      </c>
      <c r="B11" s="12" t="inlineStr">
        <is>
          <t>—</t>
        </is>
      </c>
      <c r="C11" s="13" t="n">
        <v>1.066041390941006</v>
      </c>
      <c r="D11" s="13" t="n">
        <v>0.3567246006848332</v>
      </c>
      <c r="E11" s="9" t="inlineStr">
        <is>
          <t>Все вложения проекта / эффект первого года, как бы за них ни платили. Считает сервер</t>
        </is>
      </c>
    </row>
    <row r="12">
      <c r="A12" s="10" t="inlineStr">
        <is>
          <t>Окупаемость по потоку, лет</t>
        </is>
      </c>
      <c r="B12" s="12" t="inlineStr">
        <is>
          <t>—</t>
        </is>
      </c>
      <c r="C12" s="13" t="n">
        <v>1.059800804577046</v>
      </c>
      <c r="D12" s="13" t="n">
        <v>0.3567246006848332</v>
      </c>
      <c r="E12" s="9" t="inlineStr">
        <is>
          <t>Когда накопленная экономия перекроет вложения, с ростом цен и выкупом. Считает сервер</t>
        </is>
      </c>
    </row>
    <row r="13">
      <c r="A13" s="10" t="inlineStr">
        <is>
          <t>ROI за 5 лет</t>
        </is>
      </c>
      <c r="B13" s="12" t="inlineStr">
        <is>
          <t>—</t>
        </is>
      </c>
      <c r="C13" s="14" t="n">
        <v>4.513900503006055</v>
      </c>
      <c r="D13" s="14" t="n">
        <v>16.1437868727796</v>
      </c>
      <c r="E13" s="9" t="inlineStr">
        <is>
          <t>Сколько заработали сверх вложений: (экономия за 5 лет - вложения) / вложения. 0% значит, что вложения только вернулись</t>
        </is>
      </c>
    </row>
    <row r="14">
      <c r="A14" s="10" t="inlineStr">
        <is>
          <t>Экономия на рубль вложений (ROI по формуле ТЗ)</t>
        </is>
      </c>
      <c r="B14" s="12" t="inlineStr">
        <is>
          <t>—</t>
        </is>
      </c>
      <c r="C14" s="15" t="n">
        <v>5.513900503006055</v>
      </c>
      <c r="D14" s="15" t="n">
        <v>17.1437868727796</v>
      </c>
      <c r="E14" s="9" t="inlineStr">
        <is>
          <t>Экономия за 5 лет / вложения. 1 раз значит, что вложения только вернулись</t>
        </is>
      </c>
    </row>
    <row r="15">
      <c r="A15" s="10" t="inlineStr">
        <is>
          <t>NPV</t>
        </is>
      </c>
      <c r="B15" s="12" t="inlineStr">
        <is>
          <t>—</t>
        </is>
      </c>
      <c r="C15" s="11" t="n">
        <v>89602500.39499223</v>
      </c>
      <c r="D15" s="11" t="n">
        <v>91406068.94211264</v>
      </c>
      <c r="E15" s="9" t="inlineStr">
        <is>
          <t>Чистая приведенная стоимость, считает сервер</t>
        </is>
      </c>
    </row>
    <row r="16">
      <c r="A16" s="10" t="inlineStr">
        <is>
          <t>IRR проекта</t>
        </is>
      </c>
      <c r="B16" s="12" t="inlineStr">
        <is>
          <t>—</t>
        </is>
      </c>
      <c r="C16" s="14" t="n">
        <v>0.9755249742468003</v>
      </c>
      <c r="D16" s="16" t="inlineStr">
        <is>
          <t>больше 100%</t>
        </is>
      </c>
      <c r="E16" s="9" t="inlineStr">
        <is>
          <t>Ставка, при которой NPV = 0, без схемы оплаты. Выше 100% пишем словами: вложения возвращаются быстрее, чем за год</t>
        </is>
      </c>
    </row>
    <row r="17">
      <c r="A17" s="10" t="inlineStr">
        <is>
          <t>Выкуп в конце 3 года, цена</t>
        </is>
      </c>
      <c r="B17" s="12" t="inlineStr">
        <is>
          <t>—</t>
        </is>
      </c>
      <c r="C17" s="12" t="inlineStr">
        <is>
          <t>—</t>
        </is>
      </c>
      <c r="D17" s="11" t="n">
        <v>7967213.114754098</v>
      </c>
      <c r="E17" s="9" t="inlineStr">
        <is>
          <t>Аренда без выкупа базовая. Выкуп по остаточной стоимости: роботы * цена * (1 - договор / срок службы)</t>
        </is>
      </c>
    </row>
    <row r="18">
      <c r="A18" s="10" t="inlineStr">
        <is>
          <t>Аренда в год после договора</t>
        </is>
      </c>
      <c r="B18" s="12" t="inlineStr">
        <is>
          <t>—</t>
        </is>
      </c>
      <c r="C18" s="12" t="inlineStr">
        <is>
          <t>—</t>
        </is>
      </c>
      <c r="D18" s="11" t="n">
        <v>10186344.25495082</v>
      </c>
      <c r="E18" s="9" t="inlineStr">
        <is>
          <t>Плата и ответственность за порчу, среднее по годам после конца договора</t>
        </is>
      </c>
    </row>
    <row r="19">
      <c r="A19" s="10" t="inlineStr">
        <is>
          <t>Свои роботы в год после выкупа</t>
        </is>
      </c>
      <c r="B19" s="12" t="inlineStr">
        <is>
          <t>—</t>
        </is>
      </c>
      <c r="C19" s="12" t="inlineStr">
        <is>
          <t>—</t>
        </is>
      </c>
      <c r="D19" s="11" t="n">
        <v>2793166.394754099</v>
      </c>
      <c r="E19" s="9" t="inlineStr">
        <is>
          <t>ТО, лицензии, замена АКБ и обновление парка, среднее</t>
        </is>
      </c>
    </row>
    <row r="20">
      <c r="A20" s="10" t="inlineStr">
        <is>
          <t>Выкуп окупится, лет</t>
        </is>
      </c>
      <c r="B20" s="12" t="inlineStr">
        <is>
          <t>—</t>
        </is>
      </c>
      <c r="C20" s="12" t="inlineStr">
        <is>
          <t>—</t>
        </is>
      </c>
      <c r="D20" s="13" t="n">
        <v>1.077643912457166</v>
      </c>
      <c r="E20" s="9" t="inlineStr">
        <is>
          <t>Цена выкупа / (аренда в год - свои роботы в год)</t>
        </is>
      </c>
    </row>
    <row r="21">
      <c r="A21" s="10" t="inlineStr">
        <is>
          <t>С выкупом дешевле за 5 лет</t>
        </is>
      </c>
      <c r="B21" s="12" t="inlineStr">
        <is>
          <t>—</t>
        </is>
      </c>
      <c r="C21" s="12" t="inlineStr">
        <is>
          <t>—</t>
        </is>
      </c>
      <c r="D21" s="11" t="n">
        <v>6819142.605639353</v>
      </c>
      <c r="E21" s="9" t="inlineStr">
        <is>
          <t>Стоимость владения аренды без выкупа - с выкупом. Минус: выкуп не успевает окупиться</t>
        </is>
      </c>
    </row>
    <row r="22"/>
    <row r="23">
      <c r="A23" s="17" t="inlineStr">
        <is>
          <t>Вывод</t>
        </is>
      </c>
    </row>
    <row r="24" ht="14" customHeight="1">
      <c r="A24" s="18" t="inlineStr">
        <is>
          <t>Покупка, до 3 лет: Вложения возвращаются за 1,1 года, за горизонт операция дешевеет на 149,1 млн рублей.</t>
        </is>
      </c>
    </row>
    <row r="25" ht="28" customHeight="1">
      <c r="A25" s="18" t="inlineStr">
        <is>
          <t>Аренда, до 3 лет: Аренда выгоднее людей с первого года: экономия 24,4 млн рублей в год после платежей, внедрение 8,7 млн рублей вернется за 0,4 года. За горизонт операция дешевеет на 140,4 млн рублей.</t>
        </is>
      </c>
    </row>
    <row r="26"/>
    <row r="27">
      <c r="A27" s="17" t="inlineStr">
        <is>
          <t>Что может сдвинуть вывод</t>
        </is>
      </c>
    </row>
    <row r="28" ht="28" customHeight="1">
      <c r="A28" s="18" t="inlineStr">
        <is>
          <t>1. План объекта вы не чертили: мы взяли типовую планировку склада, поэтому где на вашем объекте стоят ворота и зоны хранения, нам неизвестно, а от этого зависит длина маршрута</t>
        </is>
      </c>
    </row>
    <row r="29" ht="28" customHeight="1">
      <c r="A29" s="18" t="inlineStr">
        <is>
          <t>2. Выход на режим: в первый год экономия меньше на 0,9 млн рублей. Сколько месяцев роботы работают не на полную, никто не публикует, это наше допущение</t>
        </is>
      </c>
    </row>
    <row r="30" ht="28" customHeight="1">
      <c r="A30" s="18" t="inlineStr">
        <is>
          <t>3. Ronavi Robotics H1500 возит паллеты по полу, а верхний ярус на плане 6,8 м. Кто ставит груз в стеллаж, проверьте: расчет отдает роботу 74% работы водителя погрузчика, если ставит водитель, часть его ставок останется</t>
        </is>
      </c>
    </row>
  </sheetData>
  <mergeCells count="5">
    <mergeCell ref="A30:E30"/>
    <mergeCell ref="A29:E29"/>
    <mergeCell ref="A24:E24"/>
    <mergeCell ref="A28:E28"/>
    <mergeCell ref="A25:E25"/>
  </mergeCells>
  <pageMargins left="0.75" right="0.75" top="1" bottom="1" header="0.5" footer="0.5"/>
  <pageSetup orientation="portrait" paperSize="9" fitToHeight="0" fitToWidth="1"/>
  <headerFooter>
    <oddHeader/>
    <oddFooter>&amp;LРасклад · предварительная оценка&amp;RЛист &amp;P из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2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6" customWidth="1" min="1" max="1"/>
    <col width="7" customWidth="1" min="2" max="2"/>
    <col width="18" customWidth="1" min="3" max="3"/>
    <col width="20" customWidth="1" min="4" max="4"/>
    <col width="16" customWidth="1" min="5" max="5"/>
    <col width="16" customWidth="1" min="6" max="6"/>
    <col width="18" customWidth="1" min="7" max="7"/>
    <col width="20" customWidth="1" min="8" max="8"/>
    <col width="18" customWidth="1" min="9" max="9"/>
  </cols>
  <sheetData>
    <row r="1" ht="22" customHeight="1">
      <c r="A1" s="1" t="inlineStr">
        <is>
          <t>Сценарии по годам</t>
        </is>
      </c>
    </row>
    <row r="2">
      <c r="A2" s="2" t="inlineStr">
        <is>
          <t>Склад, перевозка паллет между зонами · Ronavi H1500 (грузоподъемность до 1 500 кг) · расчет от 18.10.2026 22:58 мск · модель 0.2</t>
        </is>
      </c>
    </row>
    <row r="3">
      <c r="A3" s="3" t="inlineStr">
        <is>
          <t>Предварительная оценка, не коммерческое предложение</t>
        </is>
      </c>
    </row>
    <row r="4"/>
    <row r="5" ht="40" customHeight="1">
      <c r="A5" s="4" t="inlineStr">
        <is>
          <t>Сценарий</t>
        </is>
      </c>
      <c r="B5" s="5" t="inlineStr">
        <is>
          <t>Год</t>
        </is>
      </c>
      <c r="C5" s="5" t="inlineStr">
        <is>
          <t>Люди на операции, ₽</t>
        </is>
      </c>
      <c r="D5" s="5" t="inlineStr">
        <is>
          <t>Роботы: операторы, обслуживание, энергия, аренда, ₽</t>
        </is>
      </c>
      <c r="E5" s="5" t="inlineStr">
        <is>
          <t>Вложения, платежи по долгу минус господдержка, ₽</t>
        </is>
      </c>
      <c r="F5" s="5" t="inlineStr">
        <is>
          <t>Затраты за год, ₽</t>
        </is>
      </c>
      <c r="G5" s="5" t="inlineStr">
        <is>
          <t>Накопленные затраты, ₽</t>
        </is>
      </c>
      <c r="H5" s="5" t="inlineStr">
        <is>
          <t>Эффект против работы без роботов, ₽</t>
        </is>
      </c>
      <c r="I5" s="5" t="inlineStr">
        <is>
          <t>Денежный поток, ₽</t>
        </is>
      </c>
    </row>
    <row r="6">
      <c r="A6" s="10" t="inlineStr">
        <is>
          <t>Без роботов</t>
        </is>
      </c>
      <c r="B6" s="19" t="n">
        <v>0</v>
      </c>
      <c r="C6" s="19" t="n">
        <v>0</v>
      </c>
      <c r="D6" s="19" t="n">
        <v>0</v>
      </c>
      <c r="E6" s="19" t="n">
        <v>0</v>
      </c>
      <c r="F6" s="19">
        <f>C6+D6+E6</f>
        <v/>
      </c>
      <c r="G6" s="19">
        <f>F6</f>
        <v/>
      </c>
    </row>
    <row r="7">
      <c r="A7" s="10" t="inlineStr">
        <is>
          <t>Без роботов</t>
        </is>
      </c>
      <c r="B7" s="19" t="n">
        <v>1</v>
      </c>
      <c r="C7" s="19" t="n">
        <v>37114094.54545455</v>
      </c>
      <c r="D7" s="19" t="n">
        <v>0</v>
      </c>
      <c r="E7" s="19" t="n">
        <v>0</v>
      </c>
      <c r="F7" s="19">
        <f>C7+D7+E7</f>
        <v/>
      </c>
      <c r="G7" s="19">
        <f>G6+F7</f>
        <v/>
      </c>
      <c r="H7" s="19" t="n">
        <v>0</v>
      </c>
      <c r="I7" s="19" t="n">
        <v>0</v>
      </c>
    </row>
    <row r="8">
      <c r="A8" s="10" t="inlineStr">
        <is>
          <t>Без роботов</t>
        </is>
      </c>
      <c r="B8" s="19" t="n">
        <v>2</v>
      </c>
      <c r="C8" s="19" t="n">
        <v>39712081.16363637</v>
      </c>
      <c r="D8" s="19" t="n">
        <v>0</v>
      </c>
      <c r="E8" s="19" t="n">
        <v>0</v>
      </c>
      <c r="F8" s="19">
        <f>C8+D8+E8</f>
        <v/>
      </c>
      <c r="G8" s="19">
        <f>G7+F8</f>
        <v/>
      </c>
      <c r="H8" s="19" t="n">
        <v>0</v>
      </c>
      <c r="I8" s="19" t="n">
        <v>0</v>
      </c>
    </row>
    <row r="9">
      <c r="A9" s="10" t="inlineStr">
        <is>
          <t>Без роботов</t>
        </is>
      </c>
      <c r="B9" s="19" t="n">
        <v>3</v>
      </c>
      <c r="C9" s="19" t="n">
        <v>42491926.84509091</v>
      </c>
      <c r="D9" s="19" t="n">
        <v>0</v>
      </c>
      <c r="E9" s="19" t="n">
        <v>0</v>
      </c>
      <c r="F9" s="19">
        <f>C9+D9+E9</f>
        <v/>
      </c>
      <c r="G9" s="19">
        <f>G8+F9</f>
        <v/>
      </c>
      <c r="H9" s="19" t="n">
        <v>0</v>
      </c>
      <c r="I9" s="19" t="n">
        <v>0</v>
      </c>
    </row>
    <row r="10">
      <c r="A10" s="10" t="inlineStr">
        <is>
          <t>Без роботов</t>
        </is>
      </c>
      <c r="B10" s="19" t="n">
        <v>4</v>
      </c>
      <c r="C10" s="19" t="n">
        <v>45466361.72424728</v>
      </c>
      <c r="D10" s="19" t="n">
        <v>0</v>
      </c>
      <c r="E10" s="19" t="n">
        <v>0</v>
      </c>
      <c r="F10" s="19">
        <f>C10+D10+E10</f>
        <v/>
      </c>
      <c r="G10" s="19">
        <f>G9+F10</f>
        <v/>
      </c>
      <c r="H10" s="19" t="n">
        <v>0</v>
      </c>
      <c r="I10" s="19" t="n">
        <v>0</v>
      </c>
    </row>
    <row r="11">
      <c r="A11" s="20" t="inlineStr">
        <is>
          <t>Без роботов</t>
        </is>
      </c>
      <c r="B11" s="21" t="n">
        <v>5</v>
      </c>
      <c r="C11" s="21" t="n">
        <v>48649007.04494459</v>
      </c>
      <c r="D11" s="21" t="n">
        <v>0</v>
      </c>
      <c r="E11" s="21" t="n">
        <v>0</v>
      </c>
      <c r="F11" s="21">
        <f>C11+D11+E11</f>
        <v/>
      </c>
      <c r="G11" s="21">
        <f>G10+F11</f>
        <v/>
      </c>
      <c r="H11" s="21" t="n">
        <v>0</v>
      </c>
      <c r="I11" s="21" t="n">
        <v>0</v>
      </c>
    </row>
    <row r="12">
      <c r="A12" s="10" t="inlineStr">
        <is>
          <t>Покупка</t>
        </is>
      </c>
      <c r="B12" s="19" t="n">
        <v>0</v>
      </c>
      <c r="C12" s="19" t="n">
        <v>0</v>
      </c>
      <c r="D12" s="19" t="n">
        <v>0</v>
      </c>
      <c r="E12" s="19" t="n">
        <v>33039646.95542929</v>
      </c>
      <c r="F12" s="19">
        <f>C12+D12+E12</f>
        <v/>
      </c>
      <c r="G12" s="19">
        <f>F12</f>
        <v/>
      </c>
    </row>
    <row r="13">
      <c r="A13" s="10" t="inlineStr">
        <is>
          <t>Покупка</t>
        </is>
      </c>
      <c r="B13" s="19" t="n">
        <v>1</v>
      </c>
      <c r="C13" s="19" t="n">
        <v>927852.3636363645</v>
      </c>
      <c r="D13" s="19" t="n">
        <v>5193405.284308184</v>
      </c>
      <c r="E13" s="19" t="n">
        <v>0</v>
      </c>
      <c r="F13" s="19">
        <f>C13+D13+E13</f>
        <v/>
      </c>
      <c r="G13" s="19">
        <f>G12+F13</f>
        <v/>
      </c>
      <c r="H13" s="19" t="n">
        <v>30992836.89751</v>
      </c>
      <c r="I13" s="19" t="n">
        <v>30992836.89751</v>
      </c>
    </row>
    <row r="14">
      <c r="A14" s="10" t="inlineStr">
        <is>
          <t>Покупка</t>
        </is>
      </c>
      <c r="B14" s="19" t="n">
        <v>2</v>
      </c>
      <c r="C14" s="19" t="n">
        <v>0</v>
      </c>
      <c r="D14" s="19" t="n">
        <v>5484948.729619592</v>
      </c>
      <c r="E14" s="19" t="n">
        <v>0</v>
      </c>
      <c r="F14" s="19">
        <f>C14+D14+E14</f>
        <v/>
      </c>
      <c r="G14" s="19">
        <f>G13+F14</f>
        <v/>
      </c>
      <c r="H14" s="19" t="n">
        <v>34227132.43401678</v>
      </c>
      <c r="I14" s="19" t="n">
        <v>34227132.43401678</v>
      </c>
    </row>
    <row r="15">
      <c r="A15" s="10" t="inlineStr">
        <is>
          <t>Покупка</t>
        </is>
      </c>
      <c r="B15" s="19" t="n">
        <v>3</v>
      </c>
      <c r="C15" s="19" t="n">
        <v>0</v>
      </c>
      <c r="D15" s="19" t="n">
        <v>7055088.869610997</v>
      </c>
      <c r="E15" s="19" t="n">
        <v>0</v>
      </c>
      <c r="F15" s="19">
        <f>C15+D15+E15</f>
        <v/>
      </c>
      <c r="G15" s="19">
        <f>G14+F15</f>
        <v/>
      </c>
      <c r="H15" s="19" t="n">
        <v>35436837.97547992</v>
      </c>
      <c r="I15" s="19" t="n">
        <v>35436837.97547992</v>
      </c>
    </row>
    <row r="16">
      <c r="A16" s="10" t="inlineStr">
        <is>
          <t>Покупка</t>
        </is>
      </c>
      <c r="B16" s="19" t="n">
        <v>4</v>
      </c>
      <c r="C16" s="19" t="n">
        <v>0</v>
      </c>
      <c r="D16" s="19" t="n">
        <v>6122960.491069997</v>
      </c>
      <c r="E16" s="19" t="n">
        <v>0</v>
      </c>
      <c r="F16" s="19">
        <f>C16+D16+E16</f>
        <v/>
      </c>
      <c r="G16" s="19">
        <f>G15+F16</f>
        <v/>
      </c>
      <c r="H16" s="19" t="n">
        <v>39343401.23317728</v>
      </c>
      <c r="I16" s="19" t="n">
        <v>39343401.23317728</v>
      </c>
    </row>
    <row r="17">
      <c r="A17" s="20" t="inlineStr">
        <is>
          <t>Покупка</t>
        </is>
      </c>
      <c r="B17" s="21" t="n">
        <v>5</v>
      </c>
      <c r="C17" s="21" t="n">
        <v>0</v>
      </c>
      <c r="D17" s="21" t="n">
        <v>6471889.618444542</v>
      </c>
      <c r="E17" s="21" t="n">
        <v>0</v>
      </c>
      <c r="F17" s="21">
        <f>C17+D17+E17</f>
        <v/>
      </c>
      <c r="G17" s="21">
        <f>G16+F17</f>
        <v/>
      </c>
      <c r="H17" s="21" t="n">
        <v>42177117.42650005</v>
      </c>
      <c r="I17" s="21" t="n">
        <v>42177117.42650005</v>
      </c>
    </row>
    <row r="18">
      <c r="A18" s="10" t="inlineStr">
        <is>
          <t>Аренда</t>
        </is>
      </c>
      <c r="B18" s="19" t="n">
        <v>0</v>
      </c>
      <c r="C18" s="19" t="n">
        <v>0</v>
      </c>
      <c r="D18" s="19" t="n">
        <v>0</v>
      </c>
      <c r="E18" s="19" t="n">
        <v>8695384.660347322</v>
      </c>
      <c r="F18" s="19">
        <f>C18+D18+E18</f>
        <v/>
      </c>
      <c r="G18" s="19">
        <f>F18</f>
        <v/>
      </c>
    </row>
    <row r="19">
      <c r="A19" s="10" t="inlineStr">
        <is>
          <t>Аренда</t>
        </is>
      </c>
      <c r="B19" s="19" t="n">
        <v>1</v>
      </c>
      <c r="C19" s="19" t="n">
        <v>927852.3636363645</v>
      </c>
      <c r="D19" s="19" t="n">
        <v>11810618.39906228</v>
      </c>
      <c r="E19" s="19" t="n">
        <v>0</v>
      </c>
      <c r="F19" s="19">
        <f>C19+D19+E19</f>
        <v/>
      </c>
      <c r="G19" s="19">
        <f>G18+F19</f>
        <v/>
      </c>
      <c r="H19" s="19" t="n">
        <v>24375623.7827559</v>
      </c>
      <c r="I19" s="19" t="n">
        <v>24375623.7827559</v>
      </c>
    </row>
    <row r="20">
      <c r="A20" s="10" t="inlineStr">
        <is>
          <t>Аренда</t>
        </is>
      </c>
      <c r="B20" s="19" t="n">
        <v>2</v>
      </c>
      <c r="C20" s="19" t="n">
        <v>0</v>
      </c>
      <c r="D20" s="19" t="n">
        <v>12012752.00830812</v>
      </c>
      <c r="E20" s="19" t="n">
        <v>0</v>
      </c>
      <c r="F20" s="19">
        <f>C20+D20+E20</f>
        <v/>
      </c>
      <c r="G20" s="19">
        <f>G19+F20</f>
        <v/>
      </c>
      <c r="H20" s="19" t="n">
        <v>27699329.15532826</v>
      </c>
      <c r="I20" s="19" t="n">
        <v>27699329.15532826</v>
      </c>
    </row>
    <row r="21">
      <c r="A21" s="10" t="inlineStr">
        <is>
          <t>Аренда</t>
        </is>
      </c>
      <c r="B21" s="19" t="n">
        <v>3</v>
      </c>
      <c r="C21" s="19" t="n">
        <v>0</v>
      </c>
      <c r="D21" s="19" t="n">
        <v>12229221.32862739</v>
      </c>
      <c r="E21" s="19" t="n">
        <v>0</v>
      </c>
      <c r="F21" s="19">
        <f>C21+D21+E21</f>
        <v/>
      </c>
      <c r="G21" s="19">
        <f>G20+F21</f>
        <v/>
      </c>
      <c r="H21" s="19" t="n">
        <v>30262705.51646352</v>
      </c>
      <c r="I21" s="19" t="n">
        <v>30262705.51646352</v>
      </c>
    </row>
    <row r="22">
      <c r="A22" s="10" t="inlineStr">
        <is>
          <t>Аренда</t>
        </is>
      </c>
      <c r="B22" s="19" t="n">
        <v>4</v>
      </c>
      <c r="C22" s="19" t="n">
        <v>0</v>
      </c>
      <c r="D22" s="19" t="n">
        <v>13566425.30418475</v>
      </c>
      <c r="E22" s="19" t="n">
        <v>0</v>
      </c>
      <c r="F22" s="19">
        <f>C22+D22+E22</f>
        <v/>
      </c>
      <c r="G22" s="19">
        <f>G21+F22</f>
        <v/>
      </c>
      <c r="H22" s="19" t="n">
        <v>31899936.42006253</v>
      </c>
      <c r="I22" s="19" t="n">
        <v>31899936.42006253</v>
      </c>
    </row>
    <row r="23">
      <c r="A23" s="20" t="inlineStr">
        <is>
          <t>Аренда</t>
        </is>
      </c>
      <c r="B23" s="21" t="n">
        <v>5</v>
      </c>
      <c r="C23" s="21" t="n">
        <v>0</v>
      </c>
      <c r="D23" s="21" t="n">
        <v>13814780.52572323</v>
      </c>
      <c r="E23" s="21" t="n">
        <v>0</v>
      </c>
      <c r="F23" s="21">
        <f>C23+D23+E23</f>
        <v/>
      </c>
      <c r="G23" s="21">
        <f>G22+F23</f>
        <v/>
      </c>
      <c r="H23" s="21" t="n">
        <v>34834226.51922137</v>
      </c>
      <c r="I23" s="21" t="n">
        <v>34834226.51922137</v>
      </c>
    </row>
  </sheetData>
  <pageMargins left="0.75" right="0.75" top="1" bottom="1" header="0.5" footer="0.5"/>
  <pageSetup orientation="landscape" paperSize="9" fitToHeight="0" fitToWidth="1"/>
  <headerFooter>
    <oddHeader/>
    <oddFooter>&amp;LРасклад · предварительная оценка&amp;RЛист &amp;P из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5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8" customWidth="1" min="3" max="3"/>
    <col width="18" customWidth="1" min="4" max="4"/>
  </cols>
  <sheetData>
    <row r="1" ht="22" customHeight="1">
      <c r="A1" s="1" t="inlineStr">
        <is>
          <t>Затраты по статьям</t>
        </is>
      </c>
    </row>
    <row r="2">
      <c r="A2" s="2" t="inlineStr">
        <is>
          <t>Склад, перевозка паллет между зонами · Ronavi H1500 (грузоподъемность до 1 500 кг) · расчет от 18.10.2026 22:58 мск · модель 0.2</t>
        </is>
      </c>
    </row>
    <row r="3">
      <c r="A3" s="3" t="inlineStr">
        <is>
          <t>Предварительная оценка, не коммерческое предложение</t>
        </is>
      </c>
    </row>
    <row r="4"/>
    <row r="5">
      <c r="A5" s="4" t="inlineStr">
        <is>
          <t>Статья</t>
        </is>
      </c>
      <c r="B5" s="5" t="inlineStr">
        <is>
          <t>Когда</t>
        </is>
      </c>
      <c r="C5" s="5" t="inlineStr">
        <is>
          <t>Покупка, ₽</t>
        </is>
      </c>
      <c r="D5" s="5" t="inlineStr">
        <is>
          <t>Аренда, ₽</t>
        </is>
      </c>
    </row>
    <row r="6">
      <c r="A6" s="10" t="inlineStr">
        <is>
          <t>Роботы</t>
        </is>
      </c>
      <c r="B6" s="9" t="inlineStr">
        <is>
          <t>разово</t>
        </is>
      </c>
      <c r="C6" s="19" t="n">
        <v>19918032.78688525</v>
      </c>
      <c r="D6" s="19" t="n">
        <v>0</v>
      </c>
    </row>
    <row r="7">
      <c r="A7" s="10" t="inlineStr">
        <is>
          <t>Зарядные станции</t>
        </is>
      </c>
      <c r="B7" s="9" t="inlineStr">
        <is>
          <t>разово</t>
        </is>
      </c>
      <c r="C7" s="19" t="n">
        <v>1106557.37704918</v>
      </c>
      <c r="D7" s="19" t="n">
        <v>0</v>
      </c>
    </row>
    <row r="8">
      <c r="A8" s="10" t="inlineStr">
        <is>
          <t>ПО управления парком</t>
        </is>
      </c>
      <c r="B8" s="9" t="inlineStr">
        <is>
          <t>разово</t>
        </is>
      </c>
      <c r="C8" s="19" t="n">
        <v>1106557.37704918</v>
      </c>
      <c r="D8" s="19" t="n">
        <v>0</v>
      </c>
    </row>
    <row r="9">
      <c r="A9" s="10" t="inlineStr">
        <is>
          <t>Станции комплектации</t>
        </is>
      </c>
      <c r="B9" s="9" t="inlineStr">
        <is>
          <t>разово</t>
        </is>
      </c>
      <c r="C9" s="19" t="n">
        <v>0</v>
      </c>
      <c r="D9" s="19" t="n">
        <v>0</v>
      </c>
    </row>
    <row r="10">
      <c r="A10" s="10" t="inlineStr">
        <is>
          <t>Интеграция с WMS</t>
        </is>
      </c>
      <c r="B10" s="9" t="inlineStr">
        <is>
          <t>разово</t>
        </is>
      </c>
      <c r="C10" s="19" t="n">
        <v>3688524.590163935</v>
      </c>
      <c r="D10" s="19" t="n">
        <v>3688524.590163935</v>
      </c>
    </row>
    <row r="11">
      <c r="A11" s="10" t="inlineStr">
        <is>
          <t>Инфраструктура</t>
        </is>
      </c>
      <c r="B11" s="9" t="inlineStr">
        <is>
          <t>разово</t>
        </is>
      </c>
      <c r="C11" s="19" t="n">
        <v>2213114.754098361</v>
      </c>
      <c r="D11" s="19" t="n">
        <v>2213114.754098361</v>
      </c>
    </row>
    <row r="12">
      <c r="A12" s="10" t="inlineStr">
        <is>
          <t>Пусконаладка</t>
        </is>
      </c>
      <c r="B12" s="9" t="inlineStr">
        <is>
          <t>разово</t>
        </is>
      </c>
      <c r="C12" s="19" t="n">
        <v>1991803.278688525</v>
      </c>
      <c r="D12" s="19" t="n">
        <v>1991803.278688525</v>
      </c>
    </row>
    <row r="13">
      <c r="A13" s="10" t="inlineStr">
        <is>
          <t>Переобучение операторов</t>
        </is>
      </c>
      <c r="B13" s="9" t="inlineStr">
        <is>
          <t>разово</t>
        </is>
      </c>
      <c r="C13" s="19" t="n">
        <v>11452.52281947262</v>
      </c>
      <c r="D13" s="19" t="n">
        <v>11452.52281947262</v>
      </c>
    </row>
    <row r="14">
      <c r="A14" s="10" t="inlineStr">
        <is>
          <t>Резерв</t>
        </is>
      </c>
      <c r="B14" s="9" t="inlineStr">
        <is>
          <t>разово</t>
        </is>
      </c>
      <c r="C14" s="19" t="n">
        <v>3003604.26867539</v>
      </c>
      <c r="D14" s="19" t="n">
        <v>790489.5145770293</v>
      </c>
    </row>
    <row r="15">
      <c r="A15" s="10" t="inlineStr">
        <is>
          <t>Электроэнергия</t>
        </is>
      </c>
      <c r="B15" s="9" t="inlineStr">
        <is>
          <t>1 год</t>
        </is>
      </c>
      <c r="C15" s="19" t="n">
        <v>383860.3278688525</v>
      </c>
      <c r="D15" s="19" t="n">
        <v>383860.3278688525</v>
      </c>
    </row>
    <row r="16">
      <c r="A16" s="10" t="inlineStr">
        <is>
          <t>Связь</t>
        </is>
      </c>
      <c r="B16" s="9" t="inlineStr">
        <is>
          <t>1 год</t>
        </is>
      </c>
      <c r="C16" s="19" t="n">
        <v>221311.4754098361</v>
      </c>
      <c r="D16" s="19" t="n">
        <v>221311.4754098361</v>
      </c>
    </row>
    <row r="17">
      <c r="A17" s="10" t="inlineStr">
        <is>
          <t>Операторы роботов</t>
        </is>
      </c>
      <c r="B17" s="9" t="inlineStr">
        <is>
          <t>1 год</t>
        </is>
      </c>
      <c r="C17" s="19" t="n">
        <v>2153807.251521298</v>
      </c>
      <c r="D17" s="19" t="n">
        <v>2153807.251521298</v>
      </c>
    </row>
    <row r="18">
      <c r="A18" s="10" t="inlineStr">
        <is>
          <t>ТО и ремонт</t>
        </is>
      </c>
      <c r="B18" s="9" t="inlineStr">
        <is>
          <t>1 год</t>
        </is>
      </c>
      <c r="C18" s="19" t="n">
        <v>1991803.278688525</v>
      </c>
      <c r="D18" s="19" t="n">
        <v>0</v>
      </c>
    </row>
    <row r="19">
      <c r="A19" s="10" t="inlineStr">
        <is>
          <t>Лицензии ПО</t>
        </is>
      </c>
      <c r="B19" s="9" t="inlineStr">
        <is>
          <t>1 год</t>
        </is>
      </c>
      <c r="C19" s="19" t="n">
        <v>442622.9508196721</v>
      </c>
      <c r="D19" s="19" t="n">
        <v>0</v>
      </c>
    </row>
    <row r="20">
      <c r="A20" s="10" t="inlineStr">
        <is>
          <t>Расходники: замена АКБ</t>
        </is>
      </c>
      <c r="B20" s="9" t="inlineStr">
        <is>
          <t>1 год</t>
        </is>
      </c>
      <c r="C20" s="19" t="n">
        <v>0</v>
      </c>
      <c r="D20" s="19" t="n">
        <v>0</v>
      </c>
    </row>
    <row r="21">
      <c r="A21" s="10" t="inlineStr">
        <is>
          <t>Плата за аренду</t>
        </is>
      </c>
      <c r="B21" s="9" t="inlineStr">
        <is>
          <t>1 год</t>
        </is>
      </c>
      <c r="C21" s="19" t="n">
        <v>0</v>
      </c>
      <c r="D21" s="19" t="n">
        <v>8852459.016393444</v>
      </c>
    </row>
    <row r="22">
      <c r="A22" s="10" t="inlineStr">
        <is>
          <t>Ответственность за порчу</t>
        </is>
      </c>
      <c r="B22" s="9" t="inlineStr">
        <is>
          <t>1 год</t>
        </is>
      </c>
      <c r="C22" s="19" t="n">
        <v>0</v>
      </c>
      <c r="D22" s="19" t="n">
        <v>199180.3278688525</v>
      </c>
    </row>
    <row r="23">
      <c r="A23" s="10" t="inlineStr">
        <is>
          <t>Электроэнергия</t>
        </is>
      </c>
      <c r="B23" s="9" t="inlineStr">
        <is>
          <t>2 год</t>
        </is>
      </c>
      <c r="C23" s="19" t="n">
        <v>418407.7573770492</v>
      </c>
      <c r="D23" s="19" t="n">
        <v>418407.7573770492</v>
      </c>
    </row>
    <row r="24">
      <c r="A24" s="10" t="inlineStr">
        <is>
          <t>Связь</t>
        </is>
      </c>
      <c r="B24" s="9" t="inlineStr">
        <is>
          <t>2 год</t>
        </is>
      </c>
      <c r="C24" s="19" t="n">
        <v>230163.9344262295</v>
      </c>
      <c r="D24" s="19" t="n">
        <v>230163.9344262295</v>
      </c>
    </row>
    <row r="25">
      <c r="A25" s="10" t="inlineStr">
        <is>
          <t>Операторы роботов</t>
        </is>
      </c>
      <c r="B25" s="9" t="inlineStr">
        <is>
          <t>2 год</t>
        </is>
      </c>
      <c r="C25" s="19" t="n">
        <v>2304573.759127789</v>
      </c>
      <c r="D25" s="19" t="n">
        <v>2304573.759127789</v>
      </c>
    </row>
    <row r="26">
      <c r="A26" s="10" t="inlineStr">
        <is>
          <t>ТО и ремонт</t>
        </is>
      </c>
      <c r="B26" s="9" t="inlineStr">
        <is>
          <t>2 год</t>
        </is>
      </c>
      <c r="C26" s="19" t="n">
        <v>2071475.409836066</v>
      </c>
      <c r="D26" s="19" t="n">
        <v>0</v>
      </c>
    </row>
    <row r="27">
      <c r="A27" s="10" t="inlineStr">
        <is>
          <t>Лицензии ПО</t>
        </is>
      </c>
      <c r="B27" s="9" t="inlineStr">
        <is>
          <t>2 год</t>
        </is>
      </c>
      <c r="C27" s="19" t="n">
        <v>460327.868852459</v>
      </c>
      <c r="D27" s="19" t="n">
        <v>0</v>
      </c>
    </row>
    <row r="28">
      <c r="A28" s="10" t="inlineStr">
        <is>
          <t>Расходники: замена АКБ</t>
        </is>
      </c>
      <c r="B28" s="9" t="inlineStr">
        <is>
          <t>2 год</t>
        </is>
      </c>
      <c r="C28" s="19" t="n">
        <v>0</v>
      </c>
      <c r="D28" s="19" t="n">
        <v>0</v>
      </c>
    </row>
    <row r="29">
      <c r="A29" s="10" t="inlineStr">
        <is>
          <t>Плата за аренду</t>
        </is>
      </c>
      <c r="B29" s="9" t="inlineStr">
        <is>
          <t>2 год</t>
        </is>
      </c>
      <c r="C29" s="19" t="n">
        <v>0</v>
      </c>
      <c r="D29" s="19" t="n">
        <v>8852459.016393444</v>
      </c>
    </row>
    <row r="30">
      <c r="A30" s="10" t="inlineStr">
        <is>
          <t>Ответственность за порчу</t>
        </is>
      </c>
      <c r="B30" s="9" t="inlineStr">
        <is>
          <t>2 год</t>
        </is>
      </c>
      <c r="C30" s="19" t="n">
        <v>0</v>
      </c>
      <c r="D30" s="19" t="n">
        <v>207147.5409836066</v>
      </c>
    </row>
    <row r="31">
      <c r="A31" s="10" t="inlineStr">
        <is>
          <t>Электроэнергия</t>
        </is>
      </c>
      <c r="B31" s="9" t="inlineStr">
        <is>
          <t>3 год</t>
        </is>
      </c>
      <c r="C31" s="19" t="n">
        <v>456064.4555409837</v>
      </c>
      <c r="D31" s="19" t="n">
        <v>456064.4555409837</v>
      </c>
    </row>
    <row r="32">
      <c r="A32" s="10" t="inlineStr">
        <is>
          <t>Связь</t>
        </is>
      </c>
      <c r="B32" s="9" t="inlineStr">
        <is>
          <t>3 год</t>
        </is>
      </c>
      <c r="C32" s="19" t="n">
        <v>239370.4918032787</v>
      </c>
      <c r="D32" s="19" t="n">
        <v>239370.4918032787</v>
      </c>
    </row>
    <row r="33">
      <c r="A33" s="10" t="inlineStr">
        <is>
          <t>Операторы роботов</t>
        </is>
      </c>
      <c r="B33" s="9" t="inlineStr">
        <is>
          <t>3 год</t>
        </is>
      </c>
      <c r="C33" s="19" t="n">
        <v>2465893.922266734</v>
      </c>
      <c r="D33" s="19" t="n">
        <v>2465893.922266734</v>
      </c>
    </row>
    <row r="34">
      <c r="A34" s="10" t="inlineStr">
        <is>
          <t>ТО и ремонт</t>
        </is>
      </c>
      <c r="B34" s="9" t="inlineStr">
        <is>
          <t>3 год</t>
        </is>
      </c>
      <c r="C34" s="19" t="n">
        <v>2154334.426229509</v>
      </c>
      <c r="D34" s="19" t="n">
        <v>0</v>
      </c>
    </row>
    <row r="35">
      <c r="A35" s="10" t="inlineStr">
        <is>
          <t>Лицензии ПО</t>
        </is>
      </c>
      <c r="B35" s="9" t="inlineStr">
        <is>
          <t>3 год</t>
        </is>
      </c>
      <c r="C35" s="19" t="n">
        <v>478740.9836065575</v>
      </c>
      <c r="D35" s="19" t="n">
        <v>0</v>
      </c>
    </row>
    <row r="36">
      <c r="A36" s="10" t="inlineStr">
        <is>
          <t>Расходники: замена АКБ</t>
        </is>
      </c>
      <c r="B36" s="9" t="inlineStr">
        <is>
          <t>3 год</t>
        </is>
      </c>
      <c r="C36" s="19" t="n">
        <v>1260684.590163935</v>
      </c>
      <c r="D36" s="19" t="n">
        <v>0</v>
      </c>
    </row>
    <row r="37">
      <c r="A37" s="10" t="inlineStr">
        <is>
          <t>Плата за аренду</t>
        </is>
      </c>
      <c r="B37" s="9" t="inlineStr">
        <is>
          <t>3 год</t>
        </is>
      </c>
      <c r="C37" s="19" t="n">
        <v>0</v>
      </c>
      <c r="D37" s="19" t="n">
        <v>8852459.016393444</v>
      </c>
    </row>
    <row r="38">
      <c r="A38" s="10" t="inlineStr">
        <is>
          <t>Ответственность за порчу</t>
        </is>
      </c>
      <c r="B38" s="9" t="inlineStr">
        <is>
          <t>3 год</t>
        </is>
      </c>
      <c r="C38" s="19" t="n">
        <v>0</v>
      </c>
      <c r="D38" s="19" t="n">
        <v>215433.4426229509</v>
      </c>
    </row>
    <row r="39">
      <c r="A39" s="10" t="inlineStr">
        <is>
          <t>Электроэнергия</t>
        </is>
      </c>
      <c r="B39" s="9" t="inlineStr">
        <is>
          <t>4 год</t>
        </is>
      </c>
      <c r="C39" s="19" t="n">
        <v>497110.2565396722</v>
      </c>
      <c r="D39" s="19" t="n">
        <v>497110.2565396722</v>
      </c>
    </row>
    <row r="40">
      <c r="A40" s="10" t="inlineStr">
        <is>
          <t>Связь</t>
        </is>
      </c>
      <c r="B40" s="9" t="inlineStr">
        <is>
          <t>4 год</t>
        </is>
      </c>
      <c r="C40" s="19" t="n">
        <v>248945.3114754099</v>
      </c>
      <c r="D40" s="19" t="n">
        <v>248945.3114754099</v>
      </c>
    </row>
    <row r="41">
      <c r="A41" s="10" t="inlineStr">
        <is>
          <t>Операторы роботов</t>
        </is>
      </c>
      <c r="B41" s="9" t="inlineStr">
        <is>
          <t>4 год</t>
        </is>
      </c>
      <c r="C41" s="19" t="n">
        <v>2638506.496825406</v>
      </c>
      <c r="D41" s="19" t="n">
        <v>2638506.496825406</v>
      </c>
    </row>
    <row r="42">
      <c r="A42" s="10" t="inlineStr">
        <is>
          <t>ТО и ремонт</t>
        </is>
      </c>
      <c r="B42" s="9" t="inlineStr">
        <is>
          <t>4 год</t>
        </is>
      </c>
      <c r="C42" s="19" t="n">
        <v>2240507.803278689</v>
      </c>
      <c r="D42" s="19" t="n">
        <v>0</v>
      </c>
    </row>
    <row r="43">
      <c r="A43" s="10" t="inlineStr">
        <is>
          <t>Лицензии ПО</t>
        </is>
      </c>
      <c r="B43" s="9" t="inlineStr">
        <is>
          <t>4 год</t>
        </is>
      </c>
      <c r="C43" s="19" t="n">
        <v>497890.6229508197</v>
      </c>
      <c r="D43" s="19" t="n">
        <v>0</v>
      </c>
    </row>
    <row r="44">
      <c r="A44" s="10" t="inlineStr">
        <is>
          <t>Расходники: замена АКБ</t>
        </is>
      </c>
      <c r="B44" s="9" t="inlineStr">
        <is>
          <t>4 год</t>
        </is>
      </c>
      <c r="C44" s="19" t="n">
        <v>0</v>
      </c>
      <c r="D44" s="19" t="n">
        <v>0</v>
      </c>
    </row>
    <row r="45">
      <c r="A45" s="10" t="inlineStr">
        <is>
          <t>Плата за аренду</t>
        </is>
      </c>
      <c r="B45" s="9" t="inlineStr">
        <is>
          <t>4 год</t>
        </is>
      </c>
      <c r="C45" s="19" t="n">
        <v>0</v>
      </c>
      <c r="D45" s="19" t="n">
        <v>9957812.459016394</v>
      </c>
    </row>
    <row r="46">
      <c r="A46" s="10" t="inlineStr">
        <is>
          <t>Ответственность за порчу</t>
        </is>
      </c>
      <c r="B46" s="9" t="inlineStr">
        <is>
          <t>4 год</t>
        </is>
      </c>
      <c r="C46" s="19" t="n">
        <v>0</v>
      </c>
      <c r="D46" s="19" t="n">
        <v>224050.7803278689</v>
      </c>
    </row>
    <row r="47">
      <c r="A47" s="10" t="inlineStr">
        <is>
          <t>Электроэнергия</t>
        </is>
      </c>
      <c r="B47" s="9" t="inlineStr">
        <is>
          <t>5 год</t>
        </is>
      </c>
      <c r="C47" s="19" t="n">
        <v>541850.1796282429</v>
      </c>
      <c r="D47" s="19" t="n">
        <v>541850.1796282429</v>
      </c>
    </row>
    <row r="48">
      <c r="A48" s="10" t="inlineStr">
        <is>
          <t>Связь</t>
        </is>
      </c>
      <c r="B48" s="9" t="inlineStr">
        <is>
          <t>5 год</t>
        </is>
      </c>
      <c r="C48" s="19" t="n">
        <v>258903.1239344263</v>
      </c>
      <c r="D48" s="19" t="n">
        <v>258903.1239344263</v>
      </c>
    </row>
    <row r="49">
      <c r="A49" s="10" t="inlineStr">
        <is>
          <t>Операторы роботов</t>
        </is>
      </c>
      <c r="B49" s="9" t="inlineStr">
        <is>
          <t>5 год</t>
        </is>
      </c>
      <c r="C49" s="19" t="n">
        <v>2823201.951603184</v>
      </c>
      <c r="D49" s="19" t="n">
        <v>2823201.951603184</v>
      </c>
    </row>
    <row r="50">
      <c r="A50" s="10" t="inlineStr">
        <is>
          <t>ТО и ремонт</t>
        </is>
      </c>
      <c r="B50" s="9" t="inlineStr">
        <is>
          <t>5 год</t>
        </is>
      </c>
      <c r="C50" s="19" t="n">
        <v>2330128.115409836</v>
      </c>
      <c r="D50" s="19" t="n">
        <v>0</v>
      </c>
    </row>
    <row r="51">
      <c r="A51" s="10" t="inlineStr">
        <is>
          <t>Лицензии ПО</t>
        </is>
      </c>
      <c r="B51" s="9" t="inlineStr">
        <is>
          <t>5 год</t>
        </is>
      </c>
      <c r="C51" s="19" t="n">
        <v>517806.2478688526</v>
      </c>
      <c r="D51" s="19" t="n">
        <v>0</v>
      </c>
    </row>
    <row r="52">
      <c r="A52" s="10" t="inlineStr">
        <is>
          <t>Расходники: замена АКБ</t>
        </is>
      </c>
      <c r="B52" s="9" t="inlineStr">
        <is>
          <t>5 год</t>
        </is>
      </c>
      <c r="C52" s="19" t="n">
        <v>0</v>
      </c>
      <c r="D52" s="19" t="n">
        <v>0</v>
      </c>
    </row>
    <row r="53">
      <c r="A53" s="10" t="inlineStr">
        <is>
          <t>Плата за аренду</t>
        </is>
      </c>
      <c r="B53" s="9" t="inlineStr">
        <is>
          <t>5 год</t>
        </is>
      </c>
      <c r="C53" s="19" t="n">
        <v>0</v>
      </c>
      <c r="D53" s="19" t="n">
        <v>9957812.459016394</v>
      </c>
    </row>
    <row r="54">
      <c r="A54" s="10" t="inlineStr">
        <is>
          <t>Ответственность за порчу</t>
        </is>
      </c>
      <c r="B54" s="9" t="inlineStr">
        <is>
          <t>5 год</t>
        </is>
      </c>
      <c r="C54" s="19" t="n">
        <v>0</v>
      </c>
      <c r="D54" s="19" t="n">
        <v>233012.8115409836</v>
      </c>
    </row>
  </sheetData>
  <pageMargins left="0.75" right="0.75" top="1" bottom="1" header="0.5" footer="0.5"/>
  <pageSetup orientation="portrait" paperSize="9" fitToHeight="0" fitToWidth="1"/>
  <headerFooter>
    <oddHeader/>
    <oddFooter>&amp;LРасклад · предварительная оценка&amp;RЛист &amp;P из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77"/>
  <sheetViews>
    <sheetView showGridLines="0" workbookViewId="0">
      <pane xSplit="1" ySplit="34" topLeftCell="B35" activePane="bottomRight" state="frozen"/>
      <selection pane="topRight"/>
      <selection pane="bottomLeft"/>
      <selection pane="bottomRight"/>
      <selection pane="bottomLeft"/>
      <selection pane="bottomRight" activeCell="A1" sqref="A1"/>
    </sheetView>
  </sheetViews>
  <sheetFormatPr baseColWidth="8" defaultRowHeight="15"/>
  <cols>
    <col width="26" customWidth="1" min="1" max="1"/>
    <col width="12" customWidth="1" min="2" max="2"/>
    <col width="10" customWidth="1" min="3" max="3"/>
    <col width="18" customWidth="1" min="4" max="4"/>
    <col width="18" customWidth="1" min="5" max="5"/>
    <col width="18" customWidth="1" min="6" max="6"/>
    <col width="18" customWidth="1" min="7" max="7"/>
    <col width="60" customWidth="1" min="8" max="8"/>
  </cols>
  <sheetData>
    <row r="1" ht="22" customHeight="1">
      <c r="A1" s="1" t="inlineStr">
        <is>
          <t>Что будет, если</t>
        </is>
      </c>
    </row>
    <row r="2">
      <c r="A2" s="2" t="inlineStr">
        <is>
          <t>Склад, перевозка паллет между зонами · Ronavi H1500 (грузоподъемность до 1 500 кг) · расчет от 18.10.2026 22:58 мск · модель 0.2</t>
        </is>
      </c>
    </row>
    <row r="3">
      <c r="A3" s="3" t="inlineStr">
        <is>
          <t>Предварительная оценка, не коммерческое предложение</t>
        </is>
      </c>
    </row>
    <row r="4">
      <c r="A4" s="2" t="inlineStr">
        <is>
          <t>Одно число сдвигаем, остальные как в расчете. При сдвиге объема парк растет вместе со спросом</t>
        </is>
      </c>
    </row>
    <row r="5">
      <c r="A5" s="4" t="inlineStr">
        <is>
          <t>Параметр</t>
        </is>
      </c>
      <c r="B5" s="5" t="inlineStr">
        <is>
          <t>Сдвиг</t>
        </is>
      </c>
      <c r="C5" s="5" t="inlineStr">
        <is>
          <t>Роботов</t>
        </is>
      </c>
      <c r="D5" s="5" t="inlineStr">
        <is>
          <t>Покупка: окупаемость, лет</t>
        </is>
      </c>
      <c r="E5" s="5" t="inlineStr">
        <is>
          <t>Покупка: владение за 5 лет, ₽</t>
        </is>
      </c>
      <c r="F5" s="5" t="inlineStr">
        <is>
          <t>Аренда: окупаемость, лет</t>
        </is>
      </c>
      <c r="G5" s="5" t="inlineStr">
        <is>
          <t>Аренда: владение за 5 лет, ₽</t>
        </is>
      </c>
      <c r="H5" s="5" t="inlineStr">
        <is>
          <t>Что меняется</t>
        </is>
      </c>
    </row>
    <row r="6">
      <c r="A6" s="10" t="inlineStr">
        <is>
          <t>Зарплаты</t>
        </is>
      </c>
      <c r="B6" s="10" t="inlineStr">
        <is>
          <t>-20%</t>
        </is>
      </c>
      <c r="C6" s="22" t="n">
        <v>9</v>
      </c>
      <c r="D6" s="23" t="n">
        <v>1.32681323331028</v>
      </c>
      <c r="E6" s="19" t="n">
        <v>61635147.75221372</v>
      </c>
      <c r="F6" s="23" t="n">
        <v>0.4926028306405102</v>
      </c>
      <c r="G6" s="19" t="n">
        <v>70396390.02998422</v>
      </c>
      <c r="H6" s="9" t="inlineStr">
        <is>
          <t>оклады всех ролей в штате. Дороже люди на операции без роботов и операторы роботов с ними: окупаемость лучше</t>
        </is>
      </c>
    </row>
    <row r="7">
      <c r="A7" s="10" t="inlineStr">
        <is>
          <t>Зарплаты</t>
        </is>
      </c>
      <c r="B7" s="10" t="inlineStr">
        <is>
          <t>-10%</t>
        </is>
      </c>
      <c r="C7" s="22" t="n">
        <v>9</v>
      </c>
      <c r="D7" s="23" t="n">
        <v>1.177148486502572</v>
      </c>
      <c r="E7" s="19" t="n">
        <v>62965470.03216635</v>
      </c>
      <c r="F7" s="23" t="n">
        <v>0.4137945898727056</v>
      </c>
      <c r="G7" s="19" t="n">
        <v>71726712.30993684</v>
      </c>
      <c r="H7" s="9" t="inlineStr"/>
    </row>
    <row r="8">
      <c r="A8" s="7" t="inlineStr">
        <is>
          <t>Зарплаты</t>
        </is>
      </c>
      <c r="B8" s="7" t="inlineStr">
        <is>
          <t>как сейчас</t>
        </is>
      </c>
      <c r="C8" s="24" t="n">
        <v>9</v>
      </c>
      <c r="D8" s="25" t="n">
        <v>1.059800804577046</v>
      </c>
      <c r="E8" s="26" t="n">
        <v>64295792.31211896</v>
      </c>
      <c r="F8" s="25" t="n">
        <v>0.3567246006848332</v>
      </c>
      <c r="G8" s="26" t="n">
        <v>73057034.58988947</v>
      </c>
      <c r="H8" s="9" t="inlineStr"/>
    </row>
    <row r="9">
      <c r="A9" s="10" t="inlineStr">
        <is>
          <t>Зарплаты</t>
        </is>
      </c>
      <c r="B9" s="10" t="inlineStr">
        <is>
          <t>+10%</t>
        </is>
      </c>
      <c r="C9" s="22" t="n">
        <v>9</v>
      </c>
      <c r="D9" s="23" t="n">
        <v>0.9617215887687982</v>
      </c>
      <c r="E9" s="19" t="n">
        <v>65626114.59207159</v>
      </c>
      <c r="F9" s="23" t="n">
        <v>0.3134886682969091</v>
      </c>
      <c r="G9" s="19" t="n">
        <v>74387356.86984208</v>
      </c>
      <c r="H9" s="9" t="inlineStr"/>
    </row>
    <row r="10">
      <c r="A10" s="10" t="inlineStr">
        <is>
          <t>Зарплаты</t>
        </is>
      </c>
      <c r="B10" s="10" t="inlineStr">
        <is>
          <t>+20%</t>
        </is>
      </c>
      <c r="C10" s="22" t="n">
        <v>9</v>
      </c>
      <c r="D10" s="23" t="n">
        <v>0.8759988166233642</v>
      </c>
      <c r="E10" s="19" t="n">
        <v>66956436.87202421</v>
      </c>
      <c r="F10" s="23" t="n">
        <v>0.2796003874639602</v>
      </c>
      <c r="G10" s="19" t="n">
        <v>75717679.14979471</v>
      </c>
      <c r="H10" s="9" t="inlineStr"/>
    </row>
    <row r="11">
      <c r="A11" s="10" t="inlineStr">
        <is>
          <t>Цена робота</t>
        </is>
      </c>
      <c r="B11" s="10" t="inlineStr">
        <is>
          <t>-20%</t>
        </is>
      </c>
      <c r="C11" s="22" t="n">
        <v>9</v>
      </c>
      <c r="D11" s="23" t="n">
        <v>0.8989616586986022</v>
      </c>
      <c r="E11" s="19" t="n">
        <v>57317978.57100421</v>
      </c>
      <c r="F11" s="23" t="n">
        <v>0.3381950612574984</v>
      </c>
      <c r="G11" s="19" t="n">
        <v>72403072.88790913</v>
      </c>
      <c r="H11" s="9" t="inlineStr">
        <is>
          <t>2 700 000 ₽ за робота. С ценой меняются вложения, пусконаладка, ТО, выкуп после аренды и ответственность за порчу</t>
        </is>
      </c>
    </row>
    <row r="12">
      <c r="A12" s="10" t="inlineStr">
        <is>
          <t>Цена робота</t>
        </is>
      </c>
      <c r="B12" s="10" t="inlineStr">
        <is>
          <t>-10%</t>
        </is>
      </c>
      <c r="C12" s="22" t="n">
        <v>9</v>
      </c>
      <c r="D12" s="23" t="n">
        <v>0.9819680710901556</v>
      </c>
      <c r="E12" s="19" t="n">
        <v>60806885.44156159</v>
      </c>
      <c r="F12" s="23" t="n">
        <v>0.3474522666387844</v>
      </c>
      <c r="G12" s="19" t="n">
        <v>72730053.73889929</v>
      </c>
      <c r="H12" s="9" t="inlineStr"/>
    </row>
    <row r="13">
      <c r="A13" s="7" t="inlineStr">
        <is>
          <t>Цена робота</t>
        </is>
      </c>
      <c r="B13" s="7" t="inlineStr">
        <is>
          <t>как сейчас</t>
        </is>
      </c>
      <c r="C13" s="24" t="n">
        <v>9</v>
      </c>
      <c r="D13" s="25" t="n">
        <v>1.059800804577046</v>
      </c>
      <c r="E13" s="26" t="n">
        <v>64295792.31211896</v>
      </c>
      <c r="F13" s="25" t="n">
        <v>0.3567246006848332</v>
      </c>
      <c r="G13" s="26" t="n">
        <v>73057034.58988947</v>
      </c>
      <c r="H13" s="9" t="inlineStr"/>
    </row>
    <row r="14">
      <c r="A14" s="10" t="inlineStr">
        <is>
          <t>Цена робота</t>
        </is>
      </c>
      <c r="B14" s="10" t="inlineStr">
        <is>
          <t>+10%</t>
        </is>
      </c>
      <c r="C14" s="22" t="n">
        <v>9</v>
      </c>
      <c r="D14" s="23" t="n">
        <v>1.136862857747911</v>
      </c>
      <c r="E14" s="19" t="n">
        <v>67784699.18267635</v>
      </c>
      <c r="F14" s="23" t="n">
        <v>0.3660121005121932</v>
      </c>
      <c r="G14" s="19" t="n">
        <v>73384015.44087963</v>
      </c>
      <c r="H14" s="9" t="inlineStr"/>
    </row>
    <row r="15">
      <c r="A15" s="10" t="inlineStr">
        <is>
          <t>Цена робота</t>
        </is>
      </c>
      <c r="B15" s="10" t="inlineStr">
        <is>
          <t>+20%</t>
        </is>
      </c>
      <c r="C15" s="22" t="n">
        <v>9</v>
      </c>
      <c r="D15" s="23" t="n">
        <v>1.214869121228682</v>
      </c>
      <c r="E15" s="19" t="n">
        <v>71273606.05323371</v>
      </c>
      <c r="F15" s="23" t="n">
        <v>0.3753148033589269</v>
      </c>
      <c r="G15" s="19" t="n">
        <v>73710996.29186979</v>
      </c>
      <c r="H15" s="9" t="inlineStr"/>
    </row>
    <row r="16">
      <c r="A16" s="10" t="inlineStr">
        <is>
          <t>Объем задачи</t>
        </is>
      </c>
      <c r="B16" s="10" t="inlineStr">
        <is>
          <t>-20%</t>
        </is>
      </c>
      <c r="C16" s="22" t="n">
        <v>8</v>
      </c>
      <c r="D16" s="23" t="n">
        <v>0.9217038991011437</v>
      </c>
      <c r="E16" s="19" t="n">
        <v>56984418.29234222</v>
      </c>
      <c r="F16" s="23" t="n">
        <v>0.300889772278319</v>
      </c>
      <c r="G16" s="19" t="n">
        <v>65042681.00919467</v>
      </c>
      <c r="H16" s="9" t="inlineStr">
        <is>
          <t>2 000 операций в сутки. Больше работы, больше роботов. Людей на операции столько, сколько в штате: штат вы ввели сами, и от объема он не меняется</t>
        </is>
      </c>
    </row>
    <row r="17">
      <c r="A17" s="10" t="inlineStr">
        <is>
          <t>Объем задачи</t>
        </is>
      </c>
      <c r="B17" s="10" t="inlineStr">
        <is>
          <t>-10%</t>
        </is>
      </c>
      <c r="C17" s="22" t="n">
        <v>9</v>
      </c>
      <c r="D17" s="23" t="n">
        <v>1.059800804577046</v>
      </c>
      <c r="E17" s="19" t="n">
        <v>64295792.31211896</v>
      </c>
      <c r="F17" s="23" t="n">
        <v>0.3567246006848332</v>
      </c>
      <c r="G17" s="19" t="n">
        <v>73057034.58988947</v>
      </c>
      <c r="H17" s="9" t="inlineStr"/>
    </row>
    <row r="18">
      <c r="A18" s="7" t="inlineStr">
        <is>
          <t>Объем задачи</t>
        </is>
      </c>
      <c r="B18" s="7" t="inlineStr">
        <is>
          <t>как сейчас</t>
        </is>
      </c>
      <c r="C18" s="24" t="n">
        <v>9</v>
      </c>
      <c r="D18" s="25" t="n">
        <v>1.059800804577046</v>
      </c>
      <c r="E18" s="26" t="n">
        <v>64295792.31211896</v>
      </c>
      <c r="F18" s="25" t="n">
        <v>0.3567246006848332</v>
      </c>
      <c r="G18" s="26" t="n">
        <v>73057034.58988947</v>
      </c>
      <c r="H18" s="9" t="inlineStr"/>
    </row>
    <row r="19">
      <c r="A19" s="10" t="inlineStr">
        <is>
          <t>Объем задачи</t>
        </is>
      </c>
      <c r="B19" s="10" t="inlineStr">
        <is>
          <t>+10%</t>
        </is>
      </c>
      <c r="C19" s="22" t="n">
        <v>10</v>
      </c>
      <c r="D19" s="23" t="n">
        <v>1.183227354300036</v>
      </c>
      <c r="E19" s="19" t="n">
        <v>71201428.62697768</v>
      </c>
      <c r="F19" s="23" t="n">
        <v>0.4189133710436511</v>
      </c>
      <c r="G19" s="19" t="n">
        <v>81071388.17058425</v>
      </c>
      <c r="H19" s="9" t="inlineStr"/>
    </row>
    <row r="20">
      <c r="A20" s="10" t="inlineStr">
        <is>
          <t>Объем задачи</t>
        </is>
      </c>
      <c r="B20" s="10" t="inlineStr">
        <is>
          <t>+20%</t>
        </is>
      </c>
      <c r="C20" s="22" t="n">
        <v>11</v>
      </c>
      <c r="D20" s="23" t="n">
        <v>1.285261814845249</v>
      </c>
      <c r="E20" s="19" t="n">
        <v>77250507.56478724</v>
      </c>
      <c r="F20" s="23" t="n">
        <v>0.4554439702409953</v>
      </c>
      <c r="G20" s="19" t="n">
        <v>88364430.27586921</v>
      </c>
      <c r="H20" s="9" t="inlineStr"/>
    </row>
    <row r="21">
      <c r="A21" s="10" t="inlineStr">
        <is>
          <t>Плата за аренду</t>
        </is>
      </c>
      <c r="B21" s="10" t="inlineStr">
        <is>
          <t>-20%</t>
        </is>
      </c>
      <c r="C21" s="22" t="n">
        <v>9</v>
      </c>
      <c r="D21" s="23" t="n">
        <v>1.059800804577046</v>
      </c>
      <c r="E21" s="19" t="n">
        <v>64295792.31211896</v>
      </c>
      <c r="F21" s="23" t="n">
        <v>0.3325688908447947</v>
      </c>
      <c r="G21" s="19" t="n">
        <v>63762434.19644684</v>
      </c>
      <c r="H21" s="9" t="inlineStr">
        <is>
          <t>100 000 ₽ в месяц за робота. Меняет только аренду: покупка от нее не зависит</t>
        </is>
      </c>
    </row>
    <row r="22">
      <c r="A22" s="10" t="inlineStr">
        <is>
          <t>Плата за аренду</t>
        </is>
      </c>
      <c r="B22" s="10" t="inlineStr">
        <is>
          <t>-10%</t>
        </is>
      </c>
      <c r="C22" s="22" t="n">
        <v>9</v>
      </c>
      <c r="D22" s="23" t="n">
        <v>1.059800804577046</v>
      </c>
      <c r="E22" s="19" t="n">
        <v>64295792.31211896</v>
      </c>
      <c r="F22" s="23" t="n">
        <v>0.344223487511946</v>
      </c>
      <c r="G22" s="19" t="n">
        <v>68409734.39316815</v>
      </c>
      <c r="H22" s="9" t="inlineStr"/>
    </row>
    <row r="23">
      <c r="A23" s="7" t="inlineStr">
        <is>
          <t>Плата за аренду</t>
        </is>
      </c>
      <c r="B23" s="7" t="inlineStr">
        <is>
          <t>как сейчас</t>
        </is>
      </c>
      <c r="C23" s="24" t="n">
        <v>9</v>
      </c>
      <c r="D23" s="25" t="n">
        <v>1.059800804577046</v>
      </c>
      <c r="E23" s="26" t="n">
        <v>64295792.31211896</v>
      </c>
      <c r="F23" s="25" t="n">
        <v>0.3567246006848332</v>
      </c>
      <c r="G23" s="26" t="n">
        <v>73057034.58988947</v>
      </c>
      <c r="H23" s="9" t="inlineStr"/>
    </row>
    <row r="24">
      <c r="A24" s="10" t="inlineStr">
        <is>
          <t>Плата за аренду</t>
        </is>
      </c>
      <c r="B24" s="10" t="inlineStr">
        <is>
          <t>+10%</t>
        </is>
      </c>
      <c r="C24" s="22" t="n">
        <v>9</v>
      </c>
      <c r="D24" s="23" t="n">
        <v>1.059800804577046</v>
      </c>
      <c r="E24" s="19" t="n">
        <v>64295792.31211896</v>
      </c>
      <c r="F24" s="23" t="n">
        <v>0.3701679344774342</v>
      </c>
      <c r="G24" s="19" t="n">
        <v>77704334.78661078</v>
      </c>
      <c r="H24" s="9" t="inlineStr"/>
    </row>
    <row r="25">
      <c r="A25" s="10" t="inlineStr">
        <is>
          <t>Плата за аренду</t>
        </is>
      </c>
      <c r="B25" s="10" t="inlineStr">
        <is>
          <t>+20%</t>
        </is>
      </c>
      <c r="C25" s="22" t="n">
        <v>9</v>
      </c>
      <c r="D25" s="23" t="n">
        <v>1.059800804577046</v>
      </c>
      <c r="E25" s="19" t="n">
        <v>64295792.31211896</v>
      </c>
      <c r="F25" s="23" t="n">
        <v>0.3846641845861242</v>
      </c>
      <c r="G25" s="19" t="n">
        <v>82351634.9833321</v>
      </c>
      <c r="H25" s="9" t="inlineStr"/>
    </row>
    <row r="26">
      <c r="A26" s="10" t="inlineStr">
        <is>
          <t>Внедрение</t>
        </is>
      </c>
      <c r="B26" s="10" t="inlineStr">
        <is>
          <t>-20%</t>
        </is>
      </c>
      <c r="C26" s="22" t="n">
        <v>9</v>
      </c>
      <c r="D26" s="23" t="n">
        <v>1.021867137237525</v>
      </c>
      <c r="E26" s="19" t="n">
        <v>62997431.65638126</v>
      </c>
      <c r="F26" s="23" t="n">
        <v>0.3034598856027024</v>
      </c>
      <c r="G26" s="19" t="n">
        <v>71758673.93415175</v>
      </c>
      <c r="H26" s="9" t="inlineStr">
        <is>
          <t>интеграция и инфраструктура 8 000 000 ₽. Разовые затраты на старте: связь с учетной системой и переделка объекта. Цифр рынка нет, это оценка</t>
        </is>
      </c>
    </row>
    <row r="27">
      <c r="A27" s="10" t="inlineStr">
        <is>
          <t>Внедрение</t>
        </is>
      </c>
      <c r="B27" s="10" t="inlineStr">
        <is>
          <t>-10%</t>
        </is>
      </c>
      <c r="C27" s="22" t="n">
        <v>9</v>
      </c>
      <c r="D27" s="23" t="n">
        <v>1.040833970907285</v>
      </c>
      <c r="E27" s="19" t="n">
        <v>63646611.98425011</v>
      </c>
      <c r="F27" s="23" t="n">
        <v>0.3300922431437678</v>
      </c>
      <c r="G27" s="19" t="n">
        <v>72407854.2620206</v>
      </c>
      <c r="H27" s="9" t="inlineStr"/>
    </row>
    <row r="28">
      <c r="A28" s="7" t="inlineStr">
        <is>
          <t>Внедрение</t>
        </is>
      </c>
      <c r="B28" s="7" t="inlineStr">
        <is>
          <t>как сейчас</t>
        </is>
      </c>
      <c r="C28" s="24" t="n">
        <v>9</v>
      </c>
      <c r="D28" s="25" t="n">
        <v>1.059800804577046</v>
      </c>
      <c r="E28" s="26" t="n">
        <v>64295792.31211896</v>
      </c>
      <c r="F28" s="25" t="n">
        <v>0.3567246006848332</v>
      </c>
      <c r="G28" s="26" t="n">
        <v>73057034.58988947</v>
      </c>
      <c r="H28" s="9" t="inlineStr"/>
    </row>
    <row r="29">
      <c r="A29" s="10" t="inlineStr">
        <is>
          <t>Внедрение</t>
        </is>
      </c>
      <c r="B29" s="10" t="inlineStr">
        <is>
          <t>+10%</t>
        </is>
      </c>
      <c r="C29" s="22" t="n">
        <v>9</v>
      </c>
      <c r="D29" s="23" t="n">
        <v>1.078767638246806</v>
      </c>
      <c r="E29" s="19" t="n">
        <v>64944972.63998782</v>
      </c>
      <c r="F29" s="23" t="n">
        <v>0.3833569582258987</v>
      </c>
      <c r="G29" s="19" t="n">
        <v>73706214.91775832</v>
      </c>
      <c r="H29" s="9" t="inlineStr"/>
    </row>
    <row r="30">
      <c r="A30" s="10" t="inlineStr">
        <is>
          <t>Внедрение</t>
        </is>
      </c>
      <c r="B30" s="10" t="inlineStr">
        <is>
          <t>+20%</t>
        </is>
      </c>
      <c r="C30" s="22" t="n">
        <v>9</v>
      </c>
      <c r="D30" s="23" t="n">
        <v>1.097734471916566</v>
      </c>
      <c r="E30" s="19" t="n">
        <v>65594152.96785668</v>
      </c>
      <c r="F30" s="23" t="n">
        <v>0.4099893157669641</v>
      </c>
      <c r="G30" s="19" t="n">
        <v>74355395.24562716</v>
      </c>
      <c r="H30" s="9" t="inlineStr"/>
    </row>
    <row r="31"/>
    <row r="32">
      <c r="A32" s="17" t="inlineStr">
        <is>
          <t>Все числа по силе влияния</t>
        </is>
      </c>
    </row>
    <row r="33">
      <c r="A33" s="2" t="inlineStr">
        <is>
          <t>Каждое число по одному на -20% и +20%. Размах: насколько меняется выгода против работы без роботов</t>
        </is>
      </c>
    </row>
    <row r="34">
      <c r="A34" s="4" t="inlineStr">
        <is>
          <t>Число</t>
        </is>
      </c>
      <c r="B34" s="5" t="inlineStr">
        <is>
          <t>Сейчас</t>
        </is>
      </c>
      <c r="C34" s="5" t="inlineStr"/>
      <c r="D34" s="5" t="inlineStr">
        <is>
          <t>Покупка: размах выгоды за 5 лет, ₽</t>
        </is>
      </c>
      <c r="E34" s="5" t="inlineStr">
        <is>
          <t>Покупка: окупаемость при -20% и +20%</t>
        </is>
      </c>
      <c r="F34" s="5" t="inlineStr">
        <is>
          <t>Аренда: размах выгоды за 5 лет, ₽</t>
        </is>
      </c>
      <c r="G34" s="5" t="inlineStr">
        <is>
          <t>Аренда: окупаемость при -20% и +20%</t>
        </is>
      </c>
      <c r="H34" s="5" t="inlineStr">
        <is>
          <t>Путь в модели</t>
        </is>
      </c>
    </row>
    <row r="35">
      <c r="A35" s="10" t="inlineStr">
        <is>
          <t>Доля работы людей, которую забирает робот, перевозка паллет между зонами</t>
        </is>
      </c>
      <c r="B35" s="10" t="inlineStr">
        <is>
          <t>74%</t>
        </is>
      </c>
      <c r="C35" s="10" t="inlineStr"/>
      <c r="D35" s="19" t="n">
        <v>85002247.58389495</v>
      </c>
      <c r="E35" s="10" t="inlineStr">
        <is>
          <t>1,4 -&gt; 0,9</t>
        </is>
      </c>
      <c r="F35" s="19" t="n">
        <v>85002247.58389497</v>
      </c>
      <c r="G35" s="10" t="inlineStr">
        <is>
          <t>0,5 -&gt; 0,3</t>
        </is>
      </c>
      <c r="H35" s="9" t="inlineStr">
        <is>
          <t>facilities.warehouse.operations.pallet_transport.labor_share</t>
        </is>
      </c>
    </row>
    <row r="36">
      <c r="A36" s="10" t="inlineStr">
        <is>
          <t>Людей в штате, оператор погрузчика</t>
        </is>
      </c>
      <c r="B36" s="10" t="inlineStr">
        <is>
          <t>25 человек</t>
        </is>
      </c>
      <c r="C36" s="10" t="inlineStr"/>
      <c r="D36" s="19" t="n">
        <v>85002247.58389492</v>
      </c>
      <c r="E36" s="10" t="inlineStr">
        <is>
          <t>1,4 -&gt; 0,9</t>
        </is>
      </c>
      <c r="F36" s="19" t="n">
        <v>85002247.58389494</v>
      </c>
      <c r="G36" s="10" t="inlineStr">
        <is>
          <t>0,5 -&gt; 0,3</t>
        </is>
      </c>
      <c r="H36" s="9" t="inlineStr">
        <is>
          <t>facilities.warehouse.staff.forklift-operators.headcount</t>
        </is>
      </c>
    </row>
    <row r="37">
      <c r="A37" s="10" t="inlineStr">
        <is>
          <t>Оклад в месяц, оператор погрузчика</t>
        </is>
      </c>
      <c r="B37" s="10" t="inlineStr">
        <is>
          <t>120 000 ₽ в месяц</t>
        </is>
      </c>
      <c r="C37" s="10" t="inlineStr"/>
      <c r="D37" s="19" t="n">
        <v>79075582.93855566</v>
      </c>
      <c r="E37" s="10" t="inlineStr">
        <is>
          <t>1,3 -&gt; 0,9</t>
        </is>
      </c>
      <c r="F37" s="19" t="n">
        <v>79075582.93855567</v>
      </c>
      <c r="G37" s="10" t="inlineStr">
        <is>
          <t>0,5 -&gt; 0,3</t>
        </is>
      </c>
      <c r="H37" s="9" t="inlineStr">
        <is>
          <t>facilities.warehouse.staff.forklift-operators.salary_month</t>
        </is>
      </c>
    </row>
    <row r="38">
      <c r="A38" s="10" t="inlineStr">
        <is>
          <t>Продолжительность смены</t>
        </is>
      </c>
      <c r="B38" s="10" t="inlineStr">
        <is>
          <t>11 ч</t>
        </is>
      </c>
      <c r="C38" s="10" t="inlineStr"/>
      <c r="D38" s="19" t="n">
        <v>21721188.3369402</v>
      </c>
      <c r="E38" s="10" t="inlineStr">
        <is>
          <t>1,4 -&gt; не справится</t>
        </is>
      </c>
      <c r="F38" s="19" t="n">
        <v>25317831.93772706</v>
      </c>
      <c r="G38" s="10" t="inlineStr">
        <is>
          <t>0,5 -&gt; не справится</t>
        </is>
      </c>
      <c r="H38" s="9" t="inlineStr">
        <is>
          <t>facilities.warehouse.schedule.shift_hours</t>
        </is>
      </c>
    </row>
    <row r="39">
      <c r="A39" s="10" t="inlineStr">
        <is>
          <t>Объем задачи в сутки, перевозка паллет между зонами</t>
        </is>
      </c>
      <c r="B39" s="10" t="inlineStr">
        <is>
          <t>2 000 в сутки</t>
        </is>
      </c>
      <c r="C39" s="10" t="inlineStr"/>
      <c r="D39" s="19" t="n">
        <v>20266089.27244502</v>
      </c>
      <c r="E39" s="10" t="inlineStr">
        <is>
          <t>0,9 -&gt; 1,3</t>
        </is>
      </c>
      <c r="F39" s="19" t="n">
        <v>23321749.26667453</v>
      </c>
      <c r="G39" s="10" t="inlineStr">
        <is>
          <t>0,3 -&gt; 0,5</t>
        </is>
      </c>
      <c r="H39" s="9" t="inlineStr">
        <is>
          <t>facilities.warehouse.operations.pallet_transport.volume_per_day</t>
        </is>
      </c>
    </row>
    <row r="40">
      <c r="A40" s="10" t="inlineStr">
        <is>
          <t>Средняя скорость</t>
        </is>
      </c>
      <c r="B40" s="10" t="inlineStr">
        <is>
          <t>1 м/с</t>
        </is>
      </c>
      <c r="C40" s="10" t="inlineStr"/>
      <c r="D40" s="19" t="n">
        <v>20266089.27244502</v>
      </c>
      <c r="E40" s="10" t="inlineStr">
        <is>
          <t>1,3 -&gt; 0,9</t>
        </is>
      </c>
      <c r="F40" s="19" t="n">
        <v>23321749.26667453</v>
      </c>
      <c r="G40" s="10" t="inlineStr">
        <is>
          <t>0,5 -&gt; 0,3</t>
        </is>
      </c>
      <c r="H40" s="9" t="inlineStr">
        <is>
          <t>robots.ronavi-h1500.avg_speed_m_s</t>
        </is>
      </c>
    </row>
    <row r="41">
      <c r="A41" s="10" t="inlineStr">
        <is>
          <t>Роботов в строю</t>
        </is>
      </c>
      <c r="B41" s="10" t="inlineStr">
        <is>
          <t>90%</t>
        </is>
      </c>
      <c r="C41" s="10" t="inlineStr"/>
      <c r="D41" s="19" t="n">
        <v>19003794.1904778</v>
      </c>
      <c r="E41" s="10" t="inlineStr">
        <is>
          <t>1,4 -&gt; 1,1</t>
        </is>
      </c>
      <c r="F41" s="19" t="n">
        <v>22600437.79126468</v>
      </c>
      <c r="G41" s="10" t="inlineStr">
        <is>
          <t>0,5 -&gt; 0,4</t>
        </is>
      </c>
      <c r="H41" s="9" t="inlineStr">
        <is>
          <t>engine.simulation.availability</t>
        </is>
      </c>
    </row>
    <row r="42">
      <c r="A42" s="10" t="inlineStr">
        <is>
          <t>Пиковый коэффициент нагрузки</t>
        </is>
      </c>
      <c r="B42" s="10" t="inlineStr">
        <is>
          <t>1,5 раза</t>
        </is>
      </c>
      <c r="C42" s="10" t="inlineStr"/>
      <c r="D42" s="19" t="n">
        <v>17349275.39404058</v>
      </c>
      <c r="E42" s="10" t="inlineStr">
        <is>
          <t>0,9 -&gt; 1,3</t>
        </is>
      </c>
      <c r="F42" s="19" t="n">
        <v>20404935.38827005</v>
      </c>
      <c r="G42" s="10" t="inlineStr">
        <is>
          <t>0,3 -&gt; 0,5</t>
        </is>
      </c>
      <c r="H42" s="9" t="inlineStr">
        <is>
          <t>facilities.warehouse.peak_factor</t>
        </is>
      </c>
    </row>
    <row r="43">
      <c r="A43" s="10" t="inlineStr">
        <is>
          <t>Аренда в месяц</t>
        </is>
      </c>
      <c r="B43" s="10" t="inlineStr">
        <is>
          <t>100 000 ₽ в месяц за робота</t>
        </is>
      </c>
      <c r="C43" s="10" t="inlineStr"/>
      <c r="D43" s="19" t="n">
        <v>0</v>
      </c>
      <c r="E43" s="10" t="inlineStr">
        <is>
          <t>1,1 -&gt; 1,1</t>
        </is>
      </c>
      <c r="F43" s="19" t="n">
        <v>18589200.78688526</v>
      </c>
      <c r="G43" s="10" t="inlineStr">
        <is>
          <t>0,3 -&gt; 0,4</t>
        </is>
      </c>
      <c r="H43" s="9" t="inlineStr">
        <is>
          <t>robots.ronavi-h1500.raas.fee_rub_month</t>
        </is>
      </c>
    </row>
    <row r="44">
      <c r="A44" s="10" t="inlineStr">
        <is>
          <t>Страховые взносы</t>
        </is>
      </c>
      <c r="B44" s="10" t="inlineStr">
        <is>
          <t>30% оклада</t>
        </is>
      </c>
      <c r="C44" s="10" t="inlineStr"/>
      <c r="D44" s="19" t="n">
        <v>18164375.86643696</v>
      </c>
      <c r="E44" s="10" t="inlineStr">
        <is>
          <t>1,1 -&gt; 1,0</t>
        </is>
      </c>
      <c r="F44" s="19" t="n">
        <v>18164375.86643699</v>
      </c>
      <c r="G44" s="10" t="inlineStr">
        <is>
          <t>0,4 -&gt; 0,3</t>
        </is>
      </c>
      <c r="H44" s="9" t="inlineStr">
        <is>
          <t>economics.payroll.insurance_rate</t>
        </is>
      </c>
    </row>
    <row r="45">
      <c r="A45" s="10" t="inlineStr">
        <is>
          <t>Доля работы, посильная роботам, перевозка паллет между зонами</t>
        </is>
      </c>
      <c r="B45" s="10" t="inlineStr">
        <is>
          <t>95%</t>
        </is>
      </c>
      <c r="C45" s="10" t="inlineStr"/>
      <c r="D45" s="19" t="n">
        <v>14217010.33463547</v>
      </c>
      <c r="E45" s="10" t="inlineStr">
        <is>
          <t>0,9 -&gt; 1,2</t>
        </is>
      </c>
      <c r="F45" s="19" t="n">
        <v>16028707.16138957</v>
      </c>
      <c r="G45" s="10" t="inlineStr">
        <is>
          <t>0,3 -&gt; 0,4</t>
        </is>
      </c>
      <c r="H45" s="9" t="inlineStr">
        <is>
          <t>facilities.warehouse.operations.pallet_transport.automatable_share</t>
        </is>
      </c>
    </row>
    <row r="46">
      <c r="A46" s="10" t="inlineStr">
        <is>
          <t>Цена робота</t>
        </is>
      </c>
      <c r="B46" s="10" t="inlineStr">
        <is>
          <t>2 700 000 ₽</t>
        </is>
      </c>
      <c r="C46" s="10" t="inlineStr"/>
      <c r="D46" s="19" t="n">
        <v>13955627.4822295</v>
      </c>
      <c r="E46" s="10" t="inlineStr">
        <is>
          <t>0,9 -&gt; 1,2</t>
        </is>
      </c>
      <c r="F46" s="19" t="n">
        <v>1307923.403960645</v>
      </c>
      <c r="G46" s="10" t="inlineStr">
        <is>
          <t>0,3 -&gt; 0,4</t>
        </is>
      </c>
      <c r="H46" s="9" t="inlineStr">
        <is>
          <t>robots.ronavi-h1500.price_rub</t>
        </is>
      </c>
    </row>
    <row r="47">
      <c r="A47" s="10" t="inlineStr">
        <is>
          <t>Рост зарплат в год</t>
        </is>
      </c>
      <c r="B47" s="10" t="inlineStr">
        <is>
          <t>7% в год</t>
        </is>
      </c>
      <c r="C47" s="10" t="inlineStr"/>
      <c r="D47" s="19" t="n">
        <v>11233628.04153031</v>
      </c>
      <c r="E47" s="10" t="inlineStr">
        <is>
          <t>1,1 -&gt; 1,1</t>
        </is>
      </c>
      <c r="F47" s="19" t="n">
        <v>11233628.04153037</v>
      </c>
      <c r="G47" s="10" t="inlineStr">
        <is>
          <t>0,4 -&gt; 0,4</t>
        </is>
      </c>
      <c r="H47" s="9" t="inlineStr">
        <is>
          <t>economics.wage_growth</t>
        </is>
      </c>
    </row>
    <row r="48">
      <c r="A48" s="10" t="inlineStr">
        <is>
          <t>Запас парка на пик</t>
        </is>
      </c>
      <c r="B48" s="10" t="inlineStr">
        <is>
          <t>15%</t>
        </is>
      </c>
      <c r="C48" s="10" t="inlineStr"/>
      <c r="D48" s="19" t="n">
        <v>6905636.314858705</v>
      </c>
      <c r="E48" s="10" t="inlineStr">
        <is>
          <t>1,1 -&gt; 1,2</t>
        </is>
      </c>
      <c r="F48" s="19" t="n">
        <v>8014353.58069478</v>
      </c>
      <c r="G48" s="10" t="inlineStr">
        <is>
          <t>0,4 -&gt; 0,4</t>
        </is>
      </c>
      <c r="H48" s="9" t="inlineStr">
        <is>
          <t>economics.peak_reserve_share</t>
        </is>
      </c>
    </row>
    <row r="49">
      <c r="A49" s="10" t="inlineStr">
        <is>
          <t>Погрузка и выгрузка за рейс</t>
        </is>
      </c>
      <c r="B49" s="10" t="inlineStr">
        <is>
          <t>20 с</t>
        </is>
      </c>
      <c r="C49" s="10" t="inlineStr"/>
      <c r="D49" s="19" t="n">
        <v>6905636.314858705</v>
      </c>
      <c r="E49" s="10" t="inlineStr">
        <is>
          <t>1,1 -&gt; 1,2</t>
        </is>
      </c>
      <c r="F49" s="19" t="n">
        <v>8014353.58069478</v>
      </c>
      <c r="G49" s="10" t="inlineStr">
        <is>
          <t>0,4 -&gt; 0,4</t>
        </is>
      </c>
      <c r="H49" s="9" t="inlineStr">
        <is>
          <t>robots.ronavi-h1500.handling_s</t>
        </is>
      </c>
    </row>
    <row r="50">
      <c r="A50" s="10" t="inlineStr">
        <is>
          <t>Рабочих часов в году на ставку</t>
        </is>
      </c>
      <c r="B50" s="10" t="inlineStr">
        <is>
          <t>1 972 ч в год</t>
        </is>
      </c>
      <c r="C50" s="10" t="inlineStr"/>
      <c r="D50" s="19" t="n">
        <v>6138346.774653852</v>
      </c>
      <c r="E50" s="10" t="inlineStr">
        <is>
          <t>1,1 -&gt; 1,0</t>
        </is>
      </c>
      <c r="F50" s="19" t="n">
        <v>6138346.774653882</v>
      </c>
      <c r="G50" s="10" t="inlineStr">
        <is>
          <t>0,4 -&gt; 0,4</t>
        </is>
      </c>
      <c r="H50" s="9" t="inlineStr">
        <is>
          <t>economics.annual_work_hours</t>
        </is>
      </c>
    </row>
    <row r="51">
      <c r="A51" s="10" t="inlineStr">
        <is>
          <t>Внимание оператора, минут в час</t>
        </is>
      </c>
      <c r="B51" s="10" t="inlineStr">
        <is>
          <t>1,5 мин в час</t>
        </is>
      </c>
      <c r="C51" s="10" t="inlineStr"/>
      <c r="D51" s="19" t="n">
        <v>4959432.462578326</v>
      </c>
      <c r="E51" s="10" t="inlineStr">
        <is>
          <t>1,0 -&gt; 1,1</t>
        </is>
      </c>
      <c r="F51" s="19" t="n">
        <v>4959432.462578356</v>
      </c>
      <c r="G51" s="10" t="inlineStr">
        <is>
          <t>0,4 -&gt; 0,4</t>
        </is>
      </c>
      <c r="H51" s="9" t="inlineStr">
        <is>
          <t>robots.ronavi-h1500.operator_attention_min_per_hour</t>
        </is>
      </c>
    </row>
    <row r="52">
      <c r="A52" s="10" t="inlineStr">
        <is>
          <t>Доплата за ночные часы</t>
        </is>
      </c>
      <c r="B52" s="10" t="inlineStr">
        <is>
          <t>20%</t>
        </is>
      </c>
      <c r="C52" s="10" t="inlineStr"/>
      <c r="D52" s="19" t="n">
        <v>4346378.084022075</v>
      </c>
      <c r="E52" s="10" t="inlineStr">
        <is>
          <t>1,1 -&gt; 1,0</t>
        </is>
      </c>
      <c r="F52" s="19" t="n">
        <v>4346378.084022075</v>
      </c>
      <c r="G52" s="10" t="inlineStr">
        <is>
          <t>0,4 -&gt; 0,4</t>
        </is>
      </c>
      <c r="H52" s="9" t="inlineStr">
        <is>
          <t>economics.peak_staffing.night_surcharge</t>
        </is>
      </c>
    </row>
    <row r="53">
      <c r="A53" s="10" t="inlineStr">
        <is>
          <t>Обслуживание в год, доля цены</t>
        </is>
      </c>
      <c r="B53" s="10" t="inlineStr">
        <is>
          <t>10% цены в год</t>
        </is>
      </c>
      <c r="C53" s="10" t="inlineStr"/>
      <c r="D53" s="19" t="n">
        <v>4315299.613377064</v>
      </c>
      <c r="E53" s="10" t="inlineStr">
        <is>
          <t>1,0 -&gt; 1,1</t>
        </is>
      </c>
      <c r="F53" s="19" t="n">
        <v>0</v>
      </c>
      <c r="G53" s="10" t="inlineStr">
        <is>
          <t>0,4 -&gt; 0,4</t>
        </is>
      </c>
      <c r="H53" s="9" t="inlineStr">
        <is>
          <t>robots.ronavi-h1500.maintenance_share_year</t>
        </is>
      </c>
    </row>
    <row r="54">
      <c r="A54" s="10" t="inlineStr">
        <is>
          <t>Проект, на который даны постоянные вложения</t>
        </is>
      </c>
      <c r="B54" s="10" t="inlineStr">
        <is>
          <t>10 роботов</t>
        </is>
      </c>
      <c r="C54" s="10" t="inlineStr"/>
      <c r="D54" s="19" t="n">
        <v>2640849.416393429</v>
      </c>
      <c r="E54" s="10" t="inlineStr">
        <is>
          <t>1,1 -&gt; 1,0</t>
        </is>
      </c>
      <c r="F54" s="19" t="n">
        <v>2302734.662295103</v>
      </c>
      <c r="G54" s="10" t="inlineStr">
        <is>
          <t>0,4 -&gt; 0,3</t>
        </is>
      </c>
      <c r="H54" s="9" t="inlineStr">
        <is>
          <t>facilities.warehouse.implementation.scale_ref_fleet</t>
        </is>
      </c>
    </row>
    <row r="55">
      <c r="A55" s="10" t="inlineStr">
        <is>
          <t>Интеграция с WMS</t>
        </is>
      </c>
      <c r="B55" s="10" t="inlineStr">
        <is>
          <t>5 000 000 ₽</t>
        </is>
      </c>
      <c r="C55" s="10" t="inlineStr"/>
      <c r="D55" s="19" t="n">
        <v>1622950.819672137</v>
      </c>
      <c r="E55" s="10" t="inlineStr">
        <is>
          <t>1,0 -&gt; 1,1</t>
        </is>
      </c>
      <c r="F55" s="19" t="n">
        <v>1622950.819672137</v>
      </c>
      <c r="G55" s="10" t="inlineStr">
        <is>
          <t>0,3 -&gt; 0,4</t>
        </is>
      </c>
      <c r="H55" s="9" t="inlineStr">
        <is>
          <t>facilities.warehouse.implementation.integration_rub</t>
        </is>
      </c>
    </row>
    <row r="56">
      <c r="A56" s="10" t="inlineStr">
        <is>
          <t>Резерв на непредвиденное, доля вложений</t>
        </is>
      </c>
      <c r="B56" s="10" t="inlineStr">
        <is>
          <t>10%</t>
        </is>
      </c>
      <c r="C56" s="10" t="inlineStr"/>
      <c r="D56" s="19" t="n">
        <v>1201441.707470149</v>
      </c>
      <c r="E56" s="10" t="inlineStr">
        <is>
          <t>1,0 -&gt; 1,1</t>
        </is>
      </c>
      <c r="F56" s="19" t="n">
        <v>316195.8058308065</v>
      </c>
      <c r="G56" s="10" t="inlineStr">
        <is>
          <t>0,4 -&gt; 0,4</t>
        </is>
      </c>
      <c r="H56" s="9" t="inlineStr">
        <is>
          <t>economics.capex_reserve_share</t>
        </is>
      </c>
    </row>
    <row r="57">
      <c r="A57" s="10" t="inlineStr">
        <is>
          <t>Потери рабочего времени</t>
        </is>
      </c>
      <c r="B57" s="10" t="inlineStr">
        <is>
          <t>25%</t>
        </is>
      </c>
      <c r="C57" s="10" t="inlineStr"/>
      <c r="D57" s="19" t="n">
        <v>1186652.376490325</v>
      </c>
      <c r="E57" s="10" t="inlineStr">
        <is>
          <t>1,1 -&gt; 1,1</t>
        </is>
      </c>
      <c r="F57" s="19" t="n">
        <v>1186652.376490355</v>
      </c>
      <c r="G57" s="10" t="inlineStr">
        <is>
          <t>0,4 -&gt; 0,4</t>
        </is>
      </c>
      <c r="H57" s="9" t="inlineStr">
        <is>
          <t>facilities.warehouse.staff_loss_share</t>
        </is>
      </c>
    </row>
    <row r="58">
      <c r="A58" s="10" t="inlineStr">
        <is>
          <t>Инфляция в год</t>
        </is>
      </c>
      <c r="B58" s="10" t="inlineStr">
        <is>
          <t>4% в год</t>
        </is>
      </c>
      <c r="C58" s="10" t="inlineStr"/>
      <c r="D58" s="19" t="n">
        <v>498746.4841652513</v>
      </c>
      <c r="E58" s="10" t="inlineStr">
        <is>
          <t>1,1 -&gt; 1,1</t>
        </is>
      </c>
      <c r="F58" s="19" t="n">
        <v>992027.2149655223</v>
      </c>
      <c r="G58" s="10" t="inlineStr">
        <is>
          <t>0,4 -&gt; 0,4</t>
        </is>
      </c>
      <c r="H58" s="9" t="inlineStr">
        <is>
          <t>economics.inflation</t>
        </is>
      </c>
    </row>
    <row r="59">
      <c r="A59" s="10" t="inlineStr">
        <is>
          <t>Инфраструктура объекта</t>
        </is>
      </c>
      <c r="B59" s="10" t="inlineStr">
        <is>
          <t>3 000 000 ₽</t>
        </is>
      </c>
      <c r="C59" s="10" t="inlineStr"/>
      <c r="D59" s="19" t="n">
        <v>973770.4918032885</v>
      </c>
      <c r="E59" s="10" t="inlineStr">
        <is>
          <t>1,0 -&gt; 1,1</t>
        </is>
      </c>
      <c r="F59" s="19" t="n">
        <v>973770.4918032587</v>
      </c>
      <c r="G59" s="10" t="inlineStr">
        <is>
          <t>0,3 -&gt; 0,4</t>
        </is>
      </c>
      <c r="H59" s="9" t="inlineStr">
        <is>
          <t>facilities.warehouse.implementation.infrastructure_rub</t>
        </is>
      </c>
    </row>
    <row r="60">
      <c r="A60" s="10" t="inlineStr">
        <is>
          <t>Час временного персонала в пик</t>
        </is>
      </c>
      <c r="B60" s="10" t="inlineStr">
        <is>
          <t>320 ₽ в час</t>
        </is>
      </c>
      <c r="C60" s="10" t="inlineStr"/>
      <c r="D60" s="19" t="n">
        <v>972271.2928014994</v>
      </c>
      <c r="E60" s="10" t="inlineStr">
        <is>
          <t>1,1 -&gt; 1,1</t>
        </is>
      </c>
      <c r="F60" s="19" t="n">
        <v>972271.2928014696</v>
      </c>
      <c r="G60" s="10" t="inlineStr">
        <is>
          <t>0,4 -&gt; 0,4</t>
        </is>
      </c>
      <c r="H60" s="9" t="inlineStr">
        <is>
          <t>economics.peak_staffing.temp_rate_rub_hour</t>
        </is>
      </c>
    </row>
    <row r="61">
      <c r="A61" s="10" t="inlineStr">
        <is>
          <t>Лицензия ПО в год</t>
        </is>
      </c>
      <c r="B61" s="10" t="inlineStr">
        <is>
          <t>60 000 ₽ в год на робота</t>
        </is>
      </c>
      <c r="C61" s="10" t="inlineStr"/>
      <c r="D61" s="19" t="n">
        <v>958955.4696393311</v>
      </c>
      <c r="E61" s="10" t="inlineStr">
        <is>
          <t>1,1 -&gt; 1,1</t>
        </is>
      </c>
      <c r="F61" s="19" t="n">
        <v>0</v>
      </c>
      <c r="G61" s="10" t="inlineStr">
        <is>
          <t>0,4 -&gt; 0,4</t>
        </is>
      </c>
      <c r="H61" s="9" t="inlineStr">
        <is>
          <t>robots.ronavi-h1500.license_rub_year</t>
        </is>
      </c>
    </row>
    <row r="62">
      <c r="A62" s="10" t="inlineStr">
        <is>
          <t>Тариф на электроэнергию</t>
        </is>
      </c>
      <c r="B62" s="10" t="inlineStr">
        <is>
          <t>9 ₽ за кВт·ч</t>
        </is>
      </c>
      <c r="C62" s="10" t="inlineStr"/>
      <c r="D62" s="19" t="n">
        <v>918917.1907819211</v>
      </c>
      <c r="E62" s="10" t="inlineStr">
        <is>
          <t>1,1 -&gt; 1,1</t>
        </is>
      </c>
      <c r="F62" s="19" t="n">
        <v>918917.1907818913</v>
      </c>
      <c r="G62" s="10" t="inlineStr">
        <is>
          <t>0,4 -&gt; 0,4</t>
        </is>
      </c>
      <c r="H62" s="9" t="inlineStr">
        <is>
          <t>economics.energy_price_rub_kwh</t>
        </is>
      </c>
    </row>
    <row r="63">
      <c r="A63" s="10" t="inlineStr">
        <is>
          <t>Средняя мощность</t>
        </is>
      </c>
      <c r="B63" s="10" t="inlineStr">
        <is>
          <t>0,72 кВт</t>
        </is>
      </c>
      <c r="C63" s="10" t="inlineStr"/>
      <c r="D63" s="19" t="n">
        <v>918917.1907819211</v>
      </c>
      <c r="E63" s="10" t="inlineStr">
        <is>
          <t>1,1 -&gt; 1,1</t>
        </is>
      </c>
      <c r="F63" s="19" t="n">
        <v>918917.1907818913</v>
      </c>
      <c r="G63" s="10" t="inlineStr">
        <is>
          <t>0,4 -&gt; 0,4</t>
        </is>
      </c>
      <c r="H63" s="9" t="inlineStr">
        <is>
          <t>robots.ronavi-h1500.avg_power_kw</t>
        </is>
      </c>
    </row>
    <row r="64">
      <c r="A64" s="10" t="inlineStr">
        <is>
          <t>Пусконаладка, доля цены</t>
        </is>
      </c>
      <c r="B64" s="10" t="inlineStr">
        <is>
          <t>10% цены робота</t>
        </is>
      </c>
      <c r="C64" s="10" t="inlineStr"/>
      <c r="D64" s="19" t="n">
        <v>876393.4426229298</v>
      </c>
      <c r="E64" s="10" t="inlineStr">
        <is>
          <t>1,0 -&gt; 1,1</t>
        </is>
      </c>
      <c r="F64" s="19" t="n">
        <v>876393.4426229596</v>
      </c>
      <c r="G64" s="10" t="inlineStr">
        <is>
          <t>0,3 -&gt; 0,4</t>
        </is>
      </c>
      <c r="H64" s="9" t="inlineStr">
        <is>
          <t>robots.ronavi-h1500.commissioning_share</t>
        </is>
      </c>
    </row>
    <row r="65">
      <c r="A65" s="10" t="inlineStr">
        <is>
          <t>Выход на режим: эффект в первый месяц, перевозка и уборка</t>
        </is>
      </c>
      <c r="B65" s="10" t="inlineStr">
        <is>
          <t>70%</t>
        </is>
      </c>
      <c r="C65" s="10" t="inlineStr"/>
      <c r="D65" s="19" t="n">
        <v>865995.5393939316</v>
      </c>
      <c r="E65" s="10" t="inlineStr">
        <is>
          <t>1,1 -&gt; 1,0</t>
        </is>
      </c>
      <c r="F65" s="19" t="n">
        <v>865995.5393939614</v>
      </c>
      <c r="G65" s="10" t="inlineStr">
        <is>
          <t>0,4 -&gt; 0,4</t>
        </is>
      </c>
      <c r="H65" s="9" t="inlineStr">
        <is>
          <t>ramp_up.simple.first_month_share</t>
        </is>
      </c>
    </row>
    <row r="66">
      <c r="A66" s="10" t="inlineStr">
        <is>
          <t>Цена аккумулятора</t>
        </is>
      </c>
      <c r="B66" s="10" t="inlineStr">
        <is>
          <t>158 000 ₽</t>
        </is>
      </c>
      <c r="C66" s="10" t="inlineStr"/>
      <c r="D66" s="19" t="n">
        <v>504273.8360655606</v>
      </c>
      <c r="E66" s="10" t="inlineStr">
        <is>
          <t>1,1 -&gt; 1,1</t>
        </is>
      </c>
      <c r="F66" s="19" t="n">
        <v>0</v>
      </c>
      <c r="G66" s="10" t="inlineStr">
        <is>
          <t>0,4 -&gt; 0,4</t>
        </is>
      </c>
      <c r="H66" s="9" t="inlineStr">
        <is>
          <t>robots.ronavi-h1500.battery_price_rub</t>
        </is>
      </c>
    </row>
    <row r="67">
      <c r="A67" s="10" t="inlineStr">
        <is>
          <t>Цена зарядной станции</t>
        </is>
      </c>
      <c r="B67" s="10" t="inlineStr">
        <is>
          <t>450 000 ₽</t>
        </is>
      </c>
      <c r="C67" s="10" t="inlineStr"/>
      <c r="D67" s="19" t="n">
        <v>486885.2459016144</v>
      </c>
      <c r="E67" s="10" t="inlineStr">
        <is>
          <t>1,1 -&gt; 1,1</t>
        </is>
      </c>
      <c r="F67" s="19" t="n">
        <v>0</v>
      </c>
      <c r="G67" s="10" t="inlineStr">
        <is>
          <t>0,4 -&gt; 0,4</t>
        </is>
      </c>
      <c r="H67" s="9" t="inlineStr">
        <is>
          <t>robots.ronavi-h1500.charger_price_rub</t>
        </is>
      </c>
    </row>
    <row r="68">
      <c r="A68" s="10" t="inlineStr">
        <is>
          <t>ПО управления парком</t>
        </is>
      </c>
      <c r="B68" s="10" t="inlineStr">
        <is>
          <t>1 500 000 ₽</t>
        </is>
      </c>
      <c r="C68" s="10" t="inlineStr"/>
      <c r="D68" s="19" t="n">
        <v>486885.2459016144</v>
      </c>
      <c r="E68" s="10" t="inlineStr">
        <is>
          <t>1,1 -&gt; 1,1</t>
        </is>
      </c>
      <c r="F68" s="19" t="n">
        <v>0</v>
      </c>
      <c r="G68" s="10" t="inlineStr">
        <is>
          <t>0,4 -&gt; 0,4</t>
        </is>
      </c>
      <c r="H68" s="9" t="inlineStr">
        <is>
          <t>robots.ronavi-h1500.software_rub</t>
        </is>
      </c>
    </row>
    <row r="69">
      <c r="A69" s="10" t="inlineStr">
        <is>
          <t>Связь и сеть в год</t>
        </is>
      </c>
      <c r="B69" s="10" t="inlineStr">
        <is>
          <t>300 000 ₽ в год</t>
        </is>
      </c>
      <c r="C69" s="10" t="inlineStr"/>
      <c r="D69" s="19" t="n">
        <v>479477.7348196805</v>
      </c>
      <c r="E69" s="10" t="inlineStr">
        <is>
          <t>1,1 -&gt; 1,1</t>
        </is>
      </c>
      <c r="F69" s="19" t="n">
        <v>479477.7348197103</v>
      </c>
      <c r="G69" s="10" t="inlineStr">
        <is>
          <t>0,4 -&gt; 0,4</t>
        </is>
      </c>
      <c r="H69" s="9" t="inlineStr">
        <is>
          <t>facilities.warehouse.implementation.communications_rub_year</t>
        </is>
      </c>
    </row>
    <row r="70">
      <c r="A70" s="10" t="inlineStr">
        <is>
          <t>Ответственность за порчу в аренде</t>
        </is>
      </c>
      <c r="B70" s="10" t="inlineStr">
        <is>
          <t>1% цены в год</t>
        </is>
      </c>
      <c r="C70" s="10" t="inlineStr"/>
      <c r="D70" s="19" t="n">
        <v>0</v>
      </c>
      <c r="E70" s="10" t="inlineStr">
        <is>
          <t>1,1 -&gt; 1,1</t>
        </is>
      </c>
      <c r="F70" s="19" t="n">
        <v>431529.9613377154</v>
      </c>
      <c r="G70" s="10" t="inlineStr">
        <is>
          <t>0,4 -&gt; 0,4</t>
        </is>
      </c>
      <c r="H70" s="9" t="inlineStr">
        <is>
          <t>robots.ronavi-h1500.raas.damage_share_year</t>
        </is>
      </c>
    </row>
    <row r="71">
      <c r="A71" s="10" t="inlineStr">
        <is>
          <t>Взнос от несчастных случаев</t>
        </is>
      </c>
      <c r="B71" s="10" t="inlineStr">
        <is>
          <t>0,6% оклада</t>
        </is>
      </c>
      <c r="C71" s="10" t="inlineStr"/>
      <c r="D71" s="19" t="n">
        <v>363287.5173287392</v>
      </c>
      <c r="E71" s="10" t="inlineStr">
        <is>
          <t>1,1 -&gt; 1,1</t>
        </is>
      </c>
      <c r="F71" s="19" t="n">
        <v>363287.517328769</v>
      </c>
      <c r="G71" s="10" t="inlineStr">
        <is>
          <t>0,4 -&gt; 0,4</t>
        </is>
      </c>
      <c r="H71" s="9" t="inlineStr">
        <is>
          <t>economics.payroll.injury_insurance_rate</t>
        </is>
      </c>
    </row>
    <row r="72">
      <c r="A72" s="10" t="inlineStr">
        <is>
          <t>Рост цены электроэнергии в год</t>
        </is>
      </c>
      <c r="B72" s="10" t="inlineStr">
        <is>
          <t>9% в год</t>
        </is>
      </c>
      <c r="C72" s="10" t="inlineStr"/>
      <c r="D72" s="19" t="n">
        <v>164807.1670537591</v>
      </c>
      <c r="E72" s="10" t="inlineStr">
        <is>
          <t>1,1 -&gt; 1,1</t>
        </is>
      </c>
      <c r="F72" s="19" t="n">
        <v>164807.1670537591</v>
      </c>
      <c r="G72" s="10" t="inlineStr">
        <is>
          <t>0,4 -&gt; 0,4</t>
        </is>
      </c>
      <c r="H72" s="9" t="inlineStr">
        <is>
          <t>economics.energy_price_growth</t>
        </is>
      </c>
    </row>
    <row r="73">
      <c r="A73" s="10" t="inlineStr">
        <is>
          <t>Переобучение одного человека</t>
        </is>
      </c>
      <c r="B73" s="10" t="inlineStr">
        <is>
          <t>10 000 ₽ на человека</t>
        </is>
      </c>
      <c r="C73" s="10" t="inlineStr"/>
      <c r="D73" s="19" t="n">
        <v>5039.110040575266</v>
      </c>
      <c r="E73" s="10" t="inlineStr">
        <is>
          <t>1,1 -&gt; 1,1</t>
        </is>
      </c>
      <c r="F73" s="19" t="n">
        <v>5039.110040575266</v>
      </c>
      <c r="G73" s="10" t="inlineStr">
        <is>
          <t>0,4 -&gt; 0,4</t>
        </is>
      </c>
      <c r="H73" s="9" t="inlineStr">
        <is>
          <t>facilities.warehouse.implementation.retraining_rub_per_person</t>
        </is>
      </c>
    </row>
    <row r="74"/>
    <row r="75">
      <c r="A75" s="2" t="inlineStr">
        <is>
          <t>Итог не двигают при сдвиге до 20%: Предельная база страховых взносов, Взносы сверх предельной базы, Площадь робозоны на робота отбора, Площадь зоны работы роботов, Доля отборов ходового товара, Доля ходового товара, Подбор оператора, Постоянные вложения пилота, доля, Вес груза, перевозка паллет между зонами, Часть склада под отбор роботами, Активных SKU, Время зарядки, Работа от одной зарядки</t>
        </is>
      </c>
    </row>
    <row r="76"/>
    <row r="77">
      <c r="A77" s="2" t="inlineStr">
        <is>
          <t>Равны нулю, в процентах их не сдвинуть: Текучесть персонала в год, Спецодежда на человека в год, Надбавка оператору роботов, Рейсов в час по паспорту, Присмотр за парком в аренде, Цена станции комплектации</t>
        </is>
      </c>
    </row>
  </sheetData>
  <pageMargins left="0.75" right="0.75" top="1" bottom="1" header="0.5" footer="0.5"/>
  <pageSetup orientation="landscape" paperSize="9" fitToHeight="0" fitToWidth="1"/>
  <headerFooter>
    <oddHeader/>
    <oddFooter>&amp;LРасклад · предварительная оценка&amp;RЛист &amp;P из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2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22" customWidth="1" min="2" max="2"/>
    <col width="22" customWidth="1" min="3" max="3"/>
    <col width="22" customWidth="1" min="4" max="4"/>
    <col width="22" customWidth="1" min="5" max="5"/>
  </cols>
  <sheetData>
    <row r="1" ht="22" customHeight="1">
      <c r="A1" s="1" t="inlineStr">
        <is>
          <t>Парк роботов и штат</t>
        </is>
      </c>
    </row>
    <row r="2">
      <c r="A2" s="2" t="inlineStr">
        <is>
          <t>Склад, перевозка паллет между зонами · Ronavi H1500 (грузоподъемность до 1 500 кг) · расчет от 18.10.2026 22:58 мск · модель 0.2</t>
        </is>
      </c>
    </row>
    <row r="3">
      <c r="A3" s="3" t="inlineStr">
        <is>
          <t>Предварительная оценка, не коммерческое предложение</t>
        </is>
      </c>
    </row>
    <row r="4"/>
    <row r="5">
      <c r="A5" s="4" t="inlineStr">
        <is>
          <t>Что</t>
        </is>
      </c>
      <c r="B5" s="5" t="inlineStr">
        <is>
          <t>Перевозка паллет между зонами</t>
        </is>
      </c>
    </row>
    <row r="6">
      <c r="A6" s="10" t="inlineStr">
        <is>
          <t>Решение</t>
        </is>
      </c>
      <c r="B6" s="10" t="inlineStr">
        <is>
          <t>Ronavi H1500 (грузоподъемность до 1 500 кг)</t>
        </is>
      </c>
    </row>
    <row r="7">
      <c r="A7" s="10" t="inlineStr">
        <is>
          <t>Производитель</t>
        </is>
      </c>
      <c r="B7" s="10" t="inlineStr">
        <is>
          <t>ООО "Ронави Роботикс"</t>
        </is>
      </c>
    </row>
    <row r="8">
      <c r="A8" s="10" t="inlineStr">
        <is>
          <t>Цена решения из каталога, ₽</t>
        </is>
      </c>
      <c r="B8" s="19" t="n">
        <v>2700000</v>
      </c>
    </row>
    <row r="9">
      <c r="A9" s="10" t="inlineStr">
        <is>
          <t>Откуда размер парка</t>
        </is>
      </c>
      <c r="B9" s="10" t="inlineStr">
        <is>
          <t>прогон смены</t>
        </is>
      </c>
    </row>
    <row r="10">
      <c r="A10" s="10" t="inlineStr">
        <is>
          <t>Роботов</t>
        </is>
      </c>
      <c r="B10" s="27" t="n">
        <v>9</v>
      </c>
    </row>
    <row r="11">
      <c r="A11" s="10" t="inlineStr">
        <is>
          <t>Зарядных станций</t>
        </is>
      </c>
      <c r="B11" s="27" t="n">
        <v>3</v>
      </c>
    </row>
    <row r="12">
      <c r="A12" s="10" t="inlineStr">
        <is>
          <t>Станций комплектации</t>
        </is>
      </c>
      <c r="B12" s="27" t="n">
        <v>0</v>
      </c>
    </row>
    <row r="13">
      <c r="A13" s="10" t="inlineStr">
        <is>
          <t>Спрос в пиковый час, операций</t>
        </is>
      </c>
      <c r="B13" s="28" t="n">
        <v>148.9772727272727</v>
      </c>
    </row>
    <row r="14">
      <c r="A14" s="10" t="inlineStr">
        <is>
          <t>Робот делает операций в час</t>
        </is>
      </c>
      <c r="B14" s="28" t="n">
        <v>17.82646004744839</v>
      </c>
    </row>
    <row r="15">
      <c r="A15" s="10" t="inlineStr">
        <is>
          <t>Средний маршрут, м</t>
        </is>
      </c>
      <c r="B15" s="28" t="n">
        <v>65.73012232415903</v>
      </c>
    </row>
    <row r="16">
      <c r="A16" s="10" t="inlineStr">
        <is>
          <t>Присмотр за роботами, человек в смену</t>
        </is>
      </c>
      <c r="B16" s="28" t="n">
        <v>0.225</v>
      </c>
    </row>
    <row r="17">
      <c r="A17" s="10" t="inlineStr">
        <is>
          <t>Людей на операции в смену, было</t>
        </is>
      </c>
      <c r="B17" s="28" t="n">
        <v>3.634570361145704</v>
      </c>
    </row>
    <row r="18">
      <c r="A18" s="10" t="inlineStr">
        <is>
          <t>Людей на операции в смену, стало</t>
        </is>
      </c>
      <c r="B18" s="28" t="n">
        <v>0.225</v>
      </c>
    </row>
    <row r="19">
      <c r="A19" s="10" t="inlineStr">
        <is>
          <t>Высвобождено ставок</t>
        </is>
      </c>
      <c r="B19" s="28" t="n">
        <v>18.5</v>
      </c>
    </row>
    <row r="20">
      <c r="A20" s="10" t="inlineStr">
        <is>
          <t>Из них переучиваем в операторов</t>
        </is>
      </c>
      <c r="B20" s="28" t="n">
        <v>1.145252281947262</v>
      </c>
    </row>
    <row r="21"/>
    <row r="22">
      <c r="A22" s="29" t="inlineStr">
        <is>
          <t>Роль</t>
        </is>
      </c>
      <c r="B22" s="30" t="inlineStr">
        <is>
          <t>Мест в штате</t>
        </is>
      </c>
      <c r="C22" s="30" t="inlineStr">
        <is>
          <t>Из них работает</t>
        </is>
      </c>
      <c r="D22" s="30" t="inlineStr">
        <is>
          <t>Оклад в месяц, ₽</t>
        </is>
      </c>
      <c r="E22" s="30" t="inlineStr">
        <is>
          <t>По договору</t>
        </is>
      </c>
    </row>
    <row r="23">
      <c r="A23" s="10" t="inlineStr">
        <is>
          <t>Оператор погрузчика</t>
        </is>
      </c>
      <c r="B23" s="22" t="n">
        <v>25</v>
      </c>
      <c r="C23" s="22" t="n">
        <v>25</v>
      </c>
      <c r="D23" s="19" t="n">
        <v>120000</v>
      </c>
      <c r="E23" s="10" t="inlineStr">
        <is>
          <t>нет</t>
        </is>
      </c>
    </row>
  </sheetData>
  <pageMargins left="0.75" right="0.75" top="1" bottom="1" header="0.5" footer="0.5"/>
  <pageSetup orientation="portrait" paperSize="9" fitToHeight="0" fitToWidth="1"/>
  <headerFooter>
    <oddHeader/>
    <oddFooter>&amp;LРасклад · предварительная оценка&amp;RЛист &amp;P из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24" customWidth="1" min="2" max="2"/>
    <col width="18" customWidth="1" min="3" max="3"/>
    <col width="18" customWidth="1" min="4" max="4"/>
    <col width="18" customWidth="1" min="5" max="5"/>
  </cols>
  <sheetData>
    <row r="1" ht="22" customHeight="1">
      <c r="A1" s="1" t="inlineStr">
        <is>
          <t>Цена одной операции</t>
        </is>
      </c>
    </row>
    <row r="2">
      <c r="A2" s="2" t="inlineStr">
        <is>
          <t>Склад, перевозка паллет между зонами · Ronavi H1500 (грузоподъемность до 1 500 кг) · расчет от 18.10.2026 22:58 мск · модель 0.2</t>
        </is>
      </c>
    </row>
    <row r="3">
      <c r="A3" s="3" t="inlineStr">
        <is>
          <t>Предварительная оценка, не коммерческое предложение</t>
        </is>
      </c>
    </row>
    <row r="4">
      <c r="A4" s="2" t="inlineStr">
        <is>
          <t>Все расходы за 5 лет, деленные на число операций за те же годы</t>
        </is>
      </c>
    </row>
    <row r="5">
      <c r="A5" s="4" t="inlineStr">
        <is>
          <t>Задача</t>
        </is>
      </c>
      <c r="B5" s="5" t="inlineStr">
        <is>
          <t>Операций за горизонт</t>
        </is>
      </c>
      <c r="C5" s="5" t="inlineStr">
        <is>
          <t>Без роботов</t>
        </is>
      </c>
      <c r="D5" s="5" t="inlineStr">
        <is>
          <t>Покупка</t>
        </is>
      </c>
      <c r="E5" s="5" t="inlineStr">
        <is>
          <t>Аренда</t>
        </is>
      </c>
    </row>
    <row r="6">
      <c r="A6" s="10" t="inlineStr">
        <is>
          <t>₽ за перевозку паллеты</t>
        </is>
      </c>
      <c r="B6" s="31" t="n">
        <v>3650000</v>
      </c>
      <c r="C6" s="31" t="n">
        <v>58.47492365023937</v>
      </c>
      <c r="D6" s="31" t="n">
        <v>17.6152855649641</v>
      </c>
      <c r="E6" s="31" t="n">
        <v>20.01562591503821</v>
      </c>
    </row>
  </sheetData>
  <pageMargins left="0.75" right="0.75" top="1" bottom="1" header="0.5" footer="0.5"/>
  <pageSetup orientation="portrait" paperSize="9" fitToHeight="0" fitToWidth="1"/>
  <headerFooter>
    <oddHeader/>
    <oddFooter>&amp;LРасклад · предварительная оценка&amp;RЛист &amp;P из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1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80" customWidth="1" min="3" max="3"/>
    <col width="60" customWidth="1" min="4" max="4"/>
  </cols>
  <sheetData>
    <row r="1" ht="22" customHeight="1">
      <c r="A1" s="1" t="inlineStr">
        <is>
          <t>Что спросить у поставщика</t>
        </is>
      </c>
    </row>
    <row r="2">
      <c r="A2" s="2" t="inlineStr">
        <is>
          <t>Склад, перевозка паллет между зонами · Ronavi H1500 (грузоподъемность до 1 500 кг) · расчет от 18.10.2026 22:58 мск · модель 0.2</t>
        </is>
      </c>
    </row>
    <row r="3">
      <c r="A3" s="3" t="inlineStr">
        <is>
          <t>Предварительная оценка, не коммерческое предложение</t>
        </is>
      </c>
    </row>
    <row r="4"/>
    <row r="5">
      <c r="A5" s="4" t="inlineStr">
        <is>
          <t>№</t>
        </is>
      </c>
      <c r="B5" s="5" t="inlineStr">
        <is>
          <t>Тема</t>
        </is>
      </c>
      <c r="C5" s="5" t="inlineStr">
        <is>
          <t>Вопрос</t>
        </is>
      </c>
      <c r="D5" s="5" t="inlineStr">
        <is>
          <t>Почему важно</t>
        </is>
      </c>
    </row>
    <row r="6">
      <c r="A6" s="22" t="n">
        <v>1</v>
      </c>
      <c r="B6" s="10" t="inlineStr">
        <is>
          <t>Зарядка</t>
        </is>
      </c>
      <c r="C6" s="10" t="inlineStr">
        <is>
          <t>Сколько зарядных станций нужно при нашей смене и парке в 9 шт., как долго робот заряжается и можно ли менять батарею на ходу? В расчете их 3.</t>
        </is>
      </c>
      <c r="D6" s="10" t="inlineStr">
        <is>
          <t>Число зарядок и время простоя на заряде сдвигают размер парка и вложения</t>
        </is>
      </c>
    </row>
    <row r="7">
      <c r="A7" s="22" t="n">
        <v>2</v>
      </c>
      <c r="B7" s="10" t="inlineStr">
        <is>
          <t>Связь с WMS</t>
        </is>
      </c>
      <c r="C7" s="10" t="inlineStr">
        <is>
          <t>Как робот подключается к нашей складской системе: какие интерфейсы, кто делает интеграцию и сколько она стоит?</t>
        </is>
      </c>
      <c r="D7" s="10" t="inlineStr">
        <is>
          <t>Интеграция стоит отдельной статьей вложений, ее цену называет только тот, кто будет делать</t>
        </is>
      </c>
    </row>
    <row r="8">
      <c r="A8" s="22" t="n">
        <v>3</v>
      </c>
      <c r="B8" s="10" t="inlineStr">
        <is>
          <t>Сервис</t>
        </is>
      </c>
      <c r="C8" s="10" t="inlineStr">
        <is>
          <t>Кто и за сколько часов приезжает на ремонт, есть ли склад запчастей в России и что входит в абонентское обслуживание?</t>
        </is>
      </c>
      <c r="D8" s="10" t="inlineStr">
        <is>
          <t>Простой робота без сервиса съедает экономию, обслуживание идет в расходы каждый год</t>
        </is>
      </c>
    </row>
    <row r="9">
      <c r="A9" s="22" t="n">
        <v>4</v>
      </c>
      <c r="B9" s="10" t="inlineStr">
        <is>
          <t>Сроки</t>
        </is>
      </c>
      <c r="C9" s="10" t="inlineStr">
        <is>
          <t>Через сколько недель после оплаты роботы будут на складе и запущены, из чего складывается этот срок?</t>
        </is>
      </c>
      <c r="D9" s="10" t="inlineStr">
        <is>
          <t>Пока идет запуск, экономии нет, а платить начинаете раньше</t>
        </is>
      </c>
    </row>
    <row r="10">
      <c r="A10" s="22" t="n">
        <v>5</v>
      </c>
      <c r="B10" s="10" t="inlineStr">
        <is>
          <t>Обучение</t>
        </is>
      </c>
      <c r="C10" s="10" t="inlineStr">
        <is>
          <t>Кто обучает наших людей, сколько часов это занимает и входит ли обучение в цену?</t>
        </is>
      </c>
      <c r="D10" s="10" t="inlineStr">
        <is>
          <t>Операторов и обучение расчет считает отдельно</t>
        </is>
      </c>
    </row>
    <row r="11">
      <c r="A11" s="22" t="n">
        <v>6</v>
      </c>
      <c r="B11" s="10" t="inlineStr">
        <is>
          <t>Гарантия</t>
        </is>
      </c>
      <c r="C11" s="10" t="inlineStr">
        <is>
          <t>Какой срок гарантии, что она покрывает и сколько служит батарея до замены?</t>
        </is>
      </c>
      <c r="D11" s="10" t="inlineStr">
        <is>
          <t>Срок службы и замена батарей влияют на расходы в последние годы горизонта</t>
        </is>
      </c>
    </row>
    <row r="12">
      <c r="A12" s="22" t="n">
        <v>7</v>
      </c>
      <c r="B12" s="10" t="inlineStr">
        <is>
          <t>Что входит в цену</t>
        </is>
      </c>
      <c r="C12" s="10" t="inlineStr">
        <is>
          <t>Входит ли в цену НДС, доставка, пусконаладка, программное обеспечение и лицензии на следующие годы?</t>
        </is>
      </c>
      <c r="D12" s="10" t="inlineStr">
        <is>
          <t>Цена в каталоге это цена изделия, без доставки, пусконаладки и интеграции</t>
        </is>
      </c>
    </row>
    <row r="13">
      <c r="A13" s="22" t="n">
        <v>8</v>
      </c>
      <c r="B13" s="10" t="inlineStr">
        <is>
          <t>Наш склад</t>
        </is>
      </c>
      <c r="C13" s="10" t="inlineStr">
        <is>
          <t>Подтвердите письменно, что робот проедет по нашему плану: ширина проезда, покрытие пола, уклоны и высота подъема.</t>
        </is>
      </c>
      <c r="D13" s="10" t="inlineStr">
        <is>
          <t>Расчет проверяет это по каталогу, а подтверждение дает только поставщик</t>
        </is>
      </c>
    </row>
    <row r="14">
      <c r="A14" s="22" t="n">
        <v>9</v>
      </c>
      <c r="B14" s="10" t="inlineStr">
        <is>
          <t>Пилот</t>
        </is>
      </c>
      <c r="C14" s="10" t="inlineStr">
        <is>
          <t>Можно ли сначала взять один-два робота на пилот и на каких условиях вернуть или докупить остальные?</t>
        </is>
      </c>
      <c r="D14" s="10" t="inlineStr">
        <is>
          <t>Пилот проверяет цифры расчета на вашем складе до большой покупки</t>
        </is>
      </c>
    </row>
    <row r="15">
      <c r="A15" s="22" t="n">
        <v>10</v>
      </c>
      <c r="B15" s="10" t="inlineStr">
        <is>
          <t>Сбои</t>
        </is>
      </c>
      <c r="C15" s="10" t="inlineStr">
        <is>
          <t>Что делает робот при потере связи или препятствии на проезде и как быстро склад возвращается к работе вручную?</t>
        </is>
      </c>
      <c r="D15" s="10" t="inlineStr">
        <is>
          <t>Склад не должен вставать, пока чинят робота</t>
        </is>
      </c>
    </row>
  </sheetData>
  <pageMargins left="0.75" right="0.75" top="1" bottom="1" header="0.5" footer="0.5"/>
  <pageSetup orientation="portrait" paperSize="9" fitToHeight="0" fitToWidth="1"/>
  <headerFooter>
    <oddHeader/>
    <oddFooter>&amp;LРасклад · предварительная оценка&amp;RЛист &amp;P из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B1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22" customWidth="1" min="2" max="2"/>
  </cols>
  <sheetData>
    <row r="1" ht="22" customHeight="1">
      <c r="A1" s="1" t="inlineStr">
        <is>
          <t>Смена на плане</t>
        </is>
      </c>
    </row>
    <row r="2">
      <c r="A2" s="2" t="inlineStr">
        <is>
          <t>Склад, перевозка паллет между зонами · Ronavi H1500 (грузоподъемность до 1 500 кг) · расчет от 18.10.2026 22:58 мск · модель 0.2</t>
        </is>
      </c>
    </row>
    <row r="3">
      <c r="A3" s="3" t="inlineStr">
        <is>
          <t>Предварительная оценка, не коммерческое предложение</t>
        </is>
      </c>
    </row>
    <row r="4">
      <c r="A4" s="2" t="inlineStr">
        <is>
          <t>Прогон смены тем парком, что в расчете: пик спроса, очереди и зарядка</t>
        </is>
      </c>
    </row>
    <row r="5">
      <c r="A5" s="4" t="inlineStr">
        <is>
          <t>Что</t>
        </is>
      </c>
      <c r="B5" s="5" t="inlineStr">
        <is>
          <t>Перевозка паллет между зонами</t>
        </is>
      </c>
    </row>
    <row r="6">
      <c r="A6" s="10" t="inlineStr">
        <is>
          <t>Решение</t>
        </is>
      </c>
      <c r="B6" s="10" t="inlineStr">
        <is>
          <t>Ronavi H1500 (грузоподъемность до 1 500 кг)</t>
        </is>
      </c>
    </row>
    <row r="7">
      <c r="A7" s="10" t="inlineStr">
        <is>
          <t>Роботов в прогоне</t>
        </is>
      </c>
      <c r="B7" s="27" t="n">
        <v>9</v>
      </c>
    </row>
    <row r="8">
      <c r="A8" s="10" t="inlineStr">
        <is>
          <t>Часов смены</t>
        </is>
      </c>
      <c r="B8" s="27" t="n">
        <v>8</v>
      </c>
    </row>
    <row r="9">
      <c r="A9" s="10" t="inlineStr">
        <is>
          <t>Единица задачи</t>
        </is>
      </c>
      <c r="B9" s="10" t="inlineStr">
        <is>
          <t>паллет</t>
        </is>
      </c>
    </row>
    <row r="10">
      <c r="A10" s="10" t="inlineStr">
        <is>
          <t>Пик спроса с запасом, в час</t>
        </is>
      </c>
      <c r="B10" s="28" t="n">
        <v>148.9772727272727</v>
      </c>
    </row>
    <row r="11">
      <c r="A11" s="10" t="inlineStr">
        <is>
          <t>Сделано за смену</t>
        </is>
      </c>
      <c r="B11" s="27" t="n">
        <v>748</v>
      </c>
    </row>
    <row r="12">
      <c r="A12" s="10" t="inlineStr">
        <is>
          <t>В среднем за смену, в час</t>
        </is>
      </c>
      <c r="B12" s="28" t="n">
        <v>93.5</v>
      </c>
    </row>
    <row r="13">
      <c r="A13" s="10" t="inlineStr">
        <is>
          <t>Роботы в работе, доля времени</t>
        </is>
      </c>
      <c r="B13" s="32" t="n">
        <v>0.4867978395061728</v>
      </c>
    </row>
    <row r="14">
      <c r="A14" s="10" t="inlineStr">
        <is>
          <t>Ждут в очереди, доля времени</t>
        </is>
      </c>
      <c r="B14" s="33" t="n">
        <v>0</v>
      </c>
    </row>
    <row r="15">
      <c r="A15" s="10" t="inlineStr">
        <is>
          <t>На зарядке, доля времени</t>
        </is>
      </c>
      <c r="B15" s="33" t="n">
        <v>0.025</v>
      </c>
    </row>
    <row r="16">
      <c r="A16" s="10" t="inlineStr">
        <is>
          <t>Средний рейс, с</t>
        </is>
      </c>
      <c r="B16" s="27" t="n">
        <v>168.2032085561497</v>
      </c>
    </row>
    <row r="17">
      <c r="A17" s="10" t="inlineStr">
        <is>
          <t>Узкое место</t>
        </is>
      </c>
      <c r="B17" s="10" t="inlineStr">
        <is>
          <t>парк взят под пик спроса: 49% времени смены роботы без задания, в основном вне пика</t>
        </is>
      </c>
    </row>
    <row r="18">
      <c r="A18" s="10" t="inlineStr">
        <is>
          <t>План</t>
        </is>
      </c>
      <c r="B18" s="10" t="inlineStr">
        <is>
          <t>типовой</t>
        </is>
      </c>
    </row>
  </sheetData>
  <pageMargins left="0.75" right="0.75" top="1" bottom="1" header="0.5" footer="0.5"/>
  <pageSetup orientation="portrait" paperSize="9" fitToHeight="0" fitToWidth="1"/>
  <headerFooter>
    <oddHeader/>
    <oddFooter>&amp;LРасклад · предварительная оценка&amp;RЛист &amp;P из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3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0" customWidth="1" min="4" max="4"/>
    <col width="12" customWidth="1" min="5" max="5"/>
    <col width="64" customWidth="1" min="6" max="6"/>
  </cols>
  <sheetData>
    <row r="1" ht="22" customHeight="1">
      <c r="A1" s="1" t="inlineStr">
        <is>
          <t>Параметры объекта</t>
        </is>
      </c>
    </row>
    <row r="2">
      <c r="A2" s="2" t="inlineStr">
        <is>
          <t>Склад, перевозка паллет между зонами · Ronavi H1500 (грузоподъемность до 1 500 кг) · расчет от 18.10.2026 22:58 мск · модель 0.2</t>
        </is>
      </c>
    </row>
    <row r="3">
      <c r="A3" s="3" t="inlineStr">
        <is>
          <t>Предварительная оценка, не коммерческое предложение</t>
        </is>
      </c>
    </row>
    <row r="4"/>
    <row r="5">
      <c r="A5" s="4" t="inlineStr">
        <is>
          <t>Параметр</t>
        </is>
      </c>
      <c r="B5" s="5" t="inlineStr">
        <is>
          <t>Значение</t>
        </is>
      </c>
      <c r="C5" s="5" t="inlineStr">
        <is>
          <t>Единица</t>
        </is>
      </c>
      <c r="D5" s="5" t="inlineStr">
        <is>
          <t>Доверие</t>
        </is>
      </c>
      <c r="E5" s="5" t="inlineStr">
        <is>
          <t>Поправлено</t>
        </is>
      </c>
      <c r="F5" s="5" t="inlineStr">
        <is>
          <t>Источник</t>
        </is>
      </c>
    </row>
    <row r="6">
      <c r="A6" s="10" t="inlineStr">
        <is>
          <t>Смен в сутки</t>
        </is>
      </c>
      <c r="B6" s="22" t="n">
        <v>2</v>
      </c>
      <c r="C6" s="10" t="inlineStr">
        <is>
          <t>смен</t>
        </is>
      </c>
      <c r="D6" s="34" t="inlineStr">
        <is>
          <t>B</t>
        </is>
      </c>
      <c r="E6" s="35" t="inlineStr"/>
      <c r="F6" s="9" t="inlineStr">
        <is>
          <t>Отраслевой датасет по складам, лист "Склад"; сходится с вакансиями РЦ и фулфилмента 2/2 день и ночь (docs/decisions.md, "Типовой режим склада")</t>
        </is>
      </c>
    </row>
    <row r="7">
      <c r="A7" s="10" t="inlineStr">
        <is>
          <t>Продолжительность смены</t>
        </is>
      </c>
      <c r="B7" s="22" t="n">
        <v>11</v>
      </c>
      <c r="C7" s="10" t="inlineStr">
        <is>
          <t>ч</t>
        </is>
      </c>
      <c r="D7" s="34" t="inlineStr">
        <is>
          <t>B</t>
        </is>
      </c>
      <c r="E7" s="35" t="inlineStr"/>
      <c r="F7" s="9" t="inlineStr">
        <is>
          <t>Режим склада без выходных, сверка 19.10.2026. В датасете, лист "Склад", 2 смены по 11 ч 365 дней, и так работают склады обоих типов: РЦ Магнита в Подольске 2/2 по 11 ч с ночными часами (hh.ru/vacancy/135864165, 15.10.2026), Ленты в Валищево 2/2 по 12 ч (hh.ru/vacancy/135995269), FM Logistic Белый Раст 2/2 день и ночь по 12 ч (hh.ru/vacancy/135967197), Мегамаркет в Москве 2/2 ночь 20:00-08:00 (hh.ru/vacancy/135946119), даркстор Лавки ночь 21:00-9:00 (hh.ru/vacancy/135852510, 28.09.2026). Пятидневки 2 смены по 8 ч у РЦ и фулфилмента не нашли. Берем 22 часа датасета, а не 24 у вакансий: так экономия не завышена. Свой режим человек ставит на шаге параметров (docs/decisions.md, "Типовой режим склада")</t>
        </is>
      </c>
    </row>
    <row r="8">
      <c r="A8" s="10" t="inlineStr">
        <is>
          <t>Рабочих дней в году</t>
        </is>
      </c>
      <c r="B8" s="22" t="n">
        <v>365</v>
      </c>
      <c r="C8" s="10" t="inlineStr">
        <is>
          <t>дн</t>
        </is>
      </c>
      <c r="D8" s="34" t="inlineStr">
        <is>
          <t>B</t>
        </is>
      </c>
      <c r="E8" s="35" t="inlineStr"/>
      <c r="F8" s="9" t="inlineStr">
        <is>
          <t>Режим склада без выходных, сверка 19.10.2026. В датасете, лист "Склад", 2 смены по 11 ч 365 дней, и так работают склады обоих типов: РЦ Магнита в Подольске 2/2 по 11 ч с ночными часами (hh.ru/vacancy/135864165, 15.10.2026), Ленты в Валищево 2/2 по 12 ч (hh.ru/vacancy/135995269), FM Logistic Белый Раст 2/2 день и ночь по 12 ч (hh.ru/vacancy/135967197), Мегамаркет в Москве 2/2 ночь 20:00-08:00 (hh.ru/vacancy/135946119), даркстор Лавки ночь 21:00-9:00 (hh.ru/vacancy/135852510, 28.09.2026). Пятидневки 2 смены по 8 ч у РЦ и фулфилмента не нашли. Берем 22 часа датасета, а не 24 у вакансий: так экономия не завышена. Свой режим человек ставит на шаге параметров (docs/decisions.md, "Типовой режим склада")</t>
        </is>
      </c>
    </row>
    <row r="9">
      <c r="A9" s="10" t="inlineStr">
        <is>
          <t>Пиковый коэффициент нагрузки</t>
        </is>
      </c>
      <c r="B9" s="22" t="n">
        <v>1.5</v>
      </c>
      <c r="C9" s="10" t="inlineStr"/>
      <c r="D9" s="34" t="inlineStr">
        <is>
          <t>D</t>
        </is>
      </c>
      <c r="E9" s="35" t="inlineStr"/>
      <c r="F9" s="9" t="inlineStr">
        <is>
          <t>Отраслевой датасет по складам, лист "Склад"</t>
        </is>
      </c>
    </row>
    <row r="10">
      <c r="A10" s="10" t="inlineStr">
        <is>
          <t>Компания возвращает НДС?</t>
        </is>
      </c>
      <c r="B10" s="22" t="n">
        <v>0</v>
      </c>
      <c r="C10" s="10" t="inlineStr">
        <is>
          <t>1 не возвращает, 0 возвращает</t>
        </is>
      </c>
      <c r="D10" s="34" t="inlineStr">
        <is>
          <t>F</t>
        </is>
      </c>
      <c r="E10" s="35" t="inlineStr"/>
      <c r="F10" s="9" t="inlineStr">
        <is>
          <t>Выбор клиента: 1 компания не возвращает НДС (упрощенка без НДС), считаем цены с НДС; 0 возвращает, цены без НДС. По умолчанию 0: склад на общей системе налогов возвращает входной НДС, и с 2026 года на НДС переходят компании на УСН с выручкой больше 20 млн (425-ФЗ)</t>
        </is>
      </c>
    </row>
    <row r="11">
      <c r="A11" s="10" t="inlineStr">
        <is>
          <t>Товар разложен по ходовости</t>
        </is>
      </c>
      <c r="B11" s="22" t="n">
        <v>0</v>
      </c>
      <c r="C11" s="10" t="inlineStr">
        <is>
          <t>1 да, 0 нет</t>
        </is>
      </c>
      <c r="D11" s="34" t="inlineStr">
        <is>
          <t>F</t>
        </is>
      </c>
      <c r="E11" s="35" t="inlineStr"/>
      <c r="F11" s="9" t="inlineStr">
        <is>
          <t>Выбор клиента: разложен ли товар по ходовости, 1 да, 0 нет. По умолчанию нет: так расчет осторожнее, а на Восток-Сервисе роботов и без этого вышло вдвое больше нашей формулы</t>
        </is>
      </c>
    </row>
    <row r="12">
      <c r="A12" s="10" t="inlineStr">
        <is>
          <t>Площадь зоны работы роботов</t>
        </is>
      </c>
      <c r="B12" s="22" t="n">
        <v>10000</v>
      </c>
      <c r="C12" s="10" t="inlineStr">
        <is>
          <t>м2</t>
        </is>
      </c>
      <c r="D12" s="34" t="inlineStr">
        <is>
          <t>D</t>
        </is>
      </c>
      <c r="E12" s="35" t="inlineStr"/>
      <c r="F12" s="9" t="inlineStr">
        <is>
          <t>Отраслевой датасет по складам, лист "Склад"</t>
        </is>
      </c>
    </row>
    <row r="13">
      <c r="A13" s="10" t="inlineStr">
        <is>
          <t>Активных SKU</t>
        </is>
      </c>
      <c r="B13" s="22" t="n">
        <v>2000</v>
      </c>
      <c r="C13" s="10" t="inlineStr">
        <is>
          <t>SKU</t>
        </is>
      </c>
      <c r="D13" s="34" t="inlineStr">
        <is>
          <t>D</t>
        </is>
      </c>
      <c r="E13" s="35" t="inlineStr"/>
      <c r="F13" s="9" t="inlineStr">
        <is>
          <t>Отраслевой датасет по складам, лист "Склад": активных SKU 2000 (1000-10000). В расчет не входит, описание склада для отчета</t>
        </is>
      </c>
    </row>
    <row r="14">
      <c r="A14" s="10" t="inlineStr">
        <is>
          <t>Роботов в строю</t>
        </is>
      </c>
      <c r="B14" s="22" t="n">
        <v>0.9</v>
      </c>
      <c r="C14" s="10" t="inlineStr">
        <is>
          <t>доля</t>
        </is>
      </c>
      <c r="D14" s="34" t="inlineStr">
        <is>
          <t>F</t>
        </is>
      </c>
      <c r="E14" s="35" t="inlineStr"/>
      <c r="F14" s="9" t="inlineStr">
        <is>
          <t>Что остается от коэффициента загрузки после симуляции: очереди и зарядку она считает сама, остаются плановое ТО и мелкие простои. Источника нет, допущение команды</t>
        </is>
      </c>
    </row>
    <row r="15">
      <c r="A15" s="10" t="inlineStr">
        <is>
          <t>Потери рабочего времени</t>
        </is>
      </c>
      <c r="B15" s="22" t="n">
        <v>0.25</v>
      </c>
      <c r="C15" s="10" t="inlineStr">
        <is>
          <t>доля</t>
        </is>
      </c>
      <c r="D15" s="34" t="inlineStr">
        <is>
          <t>D</t>
        </is>
      </c>
      <c r="E15" s="35" t="inlineStr"/>
      <c r="F15" s="9" t="inlineStr">
        <is>
          <t>Отраслевой датасет по складам, лист "Склад": +25% к нормативной численности</t>
        </is>
      </c>
    </row>
    <row r="16">
      <c r="A16" s="10" t="inlineStr">
        <is>
          <t>Минимум операторов в смене</t>
        </is>
      </c>
      <c r="B16" s="22" t="n">
        <v>0</v>
      </c>
      <c r="C16" s="10" t="inlineStr">
        <is>
          <t>чел</t>
        </is>
      </c>
      <c r="D16" s="34" t="inlineStr">
        <is>
          <t>F</t>
        </is>
      </c>
      <c r="E16" s="35" t="inlineStr"/>
      <c r="F16" s="9" t="inlineStr">
        <is>
          <t>Выбор пользователя: сколько дежурных по роботам держать в смене всегда, сверх присмотра по нагрузке. По умолчанию 0: присмотр считаем долей поста от минут внимания на робота, это часть работы начальника смены или оператора соседней зоны. Норматива роботов на оператора для складских AMR никто не публикует; Vecna Robotics на первых внедрениях видела 1 человека на 4-10 роботов и называет это неудачей (Mobile Robot Guide, перепечатка automatedwarehouseonline.com)</t>
        </is>
      </c>
    </row>
    <row r="17">
      <c r="A17" s="10" t="inlineStr">
        <is>
          <t>Горизонт расчета</t>
        </is>
      </c>
      <c r="B17" s="22" t="n">
        <v>5</v>
      </c>
      <c r="C17" s="10" t="inlineStr">
        <is>
          <t>лет</t>
        </is>
      </c>
      <c r="D17" s="34" t="inlineStr">
        <is>
          <t>D</t>
        </is>
      </c>
      <c r="E17" s="35" t="inlineStr"/>
      <c r="F17" s="9" t="inlineStr">
        <is>
          <t>Отраслевой датасет по складам, лист "Склад": горизонт окупаемости 5 лет (3-10)</t>
        </is>
      </c>
    </row>
    <row r="18">
      <c r="A18" s="10" t="inlineStr">
        <is>
          <t>Тариф на электроэнергию</t>
        </is>
      </c>
      <c r="B18" s="22" t="n">
        <v>9</v>
      </c>
      <c r="C18" s="10" t="inlineStr">
        <is>
          <t>₽/кВт·ч</t>
        </is>
      </c>
      <c r="D18" s="34" t="inlineStr">
        <is>
          <t>F</t>
        </is>
      </c>
      <c r="E18" s="35" t="inlineStr"/>
      <c r="F18" s="9" t="inlineStr">
        <is>
          <t>Нет подтвержденного источника: взять предельный уровень нерегулируемых цен на mosenergosbyt.ru, СН2/НН</t>
        </is>
      </c>
    </row>
    <row r="19">
      <c r="A19" s="10" t="inlineStr">
        <is>
          <t>Рост зарплат в год</t>
        </is>
      </c>
      <c r="B19" s="22" t="n">
        <v>0.07000000000000001</v>
      </c>
      <c r="C19" s="10" t="inlineStr">
        <is>
          <t>доля</t>
        </is>
      </c>
      <c r="D19" s="34" t="inlineStr">
        <is>
          <t>C</t>
        </is>
      </c>
      <c r="E19" s="35" t="inlineStr"/>
      <c r="F19" s="9" t="inlineStr">
        <is>
          <t>Сценарные условия Минэкономразвития на 2027-2029, 12.05.2026, garant.ru/products/ipo/prime/doc/414115625/: +6,5% (2027), +6,9% (2028), +7,1% (2029), берем около 7%</t>
        </is>
      </c>
    </row>
    <row r="20">
      <c r="A20" s="10" t="inlineStr">
        <is>
          <t>Перемещений паллет в сутки</t>
        </is>
      </c>
      <c r="B20" s="22" t="n">
        <v>2000</v>
      </c>
      <c r="C20" s="10" t="inlineStr">
        <is>
          <t>паллет/сут</t>
        </is>
      </c>
      <c r="D20" s="34" t="inlineStr">
        <is>
          <t>D</t>
        </is>
      </c>
      <c r="E20" s="35" t="inlineStr"/>
      <c r="F20" s="9" t="inlineStr">
        <is>
          <t>Отраслевой датасет по складам, лист "Склад": приемка 1000 + отгрузка 1000</t>
        </is>
      </c>
    </row>
    <row r="21">
      <c r="A21" s="10" t="inlineStr">
        <is>
          <t>Масса паллеты с грузом</t>
        </is>
      </c>
      <c r="B21" s="22" t="n">
        <v>800</v>
      </c>
      <c r="C21" s="10" t="inlineStr">
        <is>
          <t>кг</t>
        </is>
      </c>
      <c r="D21" s="34" t="inlineStr">
        <is>
          <t>D</t>
        </is>
      </c>
      <c r="E21" s="35" t="inlineStr"/>
      <c r="F21" s="9" t="inlineStr">
        <is>
          <t>Отраслевой датасет по складам, лист "Склад": средняя масса грузовой единицы 800 кг (200-1500)</t>
        </is>
      </c>
    </row>
    <row r="22">
      <c r="A22" s="10" t="inlineStr">
        <is>
          <t>Доля перевозок для роботов</t>
        </is>
      </c>
      <c r="B22" s="22" t="n">
        <v>0.95</v>
      </c>
      <c r="C22" s="10" t="inlineStr">
        <is>
          <t>доля</t>
        </is>
      </c>
      <c r="D22" s="34" t="inlineStr">
        <is>
          <t>D</t>
        </is>
      </c>
      <c r="E22" s="35" t="inlineStr"/>
      <c r="F22" s="9" t="inlineStr">
        <is>
          <t>Отраслевой датасет по складам, лист "Склад": негабарит 5% остается ручным</t>
        </is>
      </c>
    </row>
    <row r="23"/>
    <row r="24">
      <c r="A24" s="17" t="inlineStr">
        <is>
          <t>План объекта</t>
        </is>
      </c>
    </row>
    <row r="25">
      <c r="A25" s="10" t="inlineStr">
        <is>
          <t>Здание</t>
        </is>
      </c>
      <c r="B25" s="10" t="inlineStr">
        <is>
          <t>118 x 85</t>
        </is>
      </c>
      <c r="C25" s="10" t="inlineStr">
        <is>
          <t>м</t>
        </is>
      </c>
    </row>
    <row r="26">
      <c r="A26" s="10" t="inlineStr">
        <is>
          <t>Средний маршрут до буфера у ворот</t>
        </is>
      </c>
      <c r="B26" s="22" t="n">
        <v>65.7</v>
      </c>
      <c r="C26" s="10" t="inlineStr">
        <is>
          <t>м</t>
        </is>
      </c>
    </row>
    <row r="27">
      <c r="A27" s="10" t="inlineStr">
        <is>
          <t>Мест у ворот</t>
        </is>
      </c>
      <c r="B27" s="22" t="n">
        <v>10</v>
      </c>
      <c r="C27" s="10" t="inlineStr">
        <is>
          <t>шт</t>
        </is>
      </c>
    </row>
    <row r="28">
      <c r="A28" s="10" t="inlineStr">
        <is>
          <t>Проездов между рядами</t>
        </is>
      </c>
      <c r="B28" s="22" t="n">
        <v>18</v>
      </c>
      <c r="C28" s="10" t="inlineStr">
        <is>
          <t>шт</t>
        </is>
      </c>
    </row>
    <row r="29">
      <c r="A29" s="10" t="inlineStr">
        <is>
          <t>Самый узкий проезд</t>
        </is>
      </c>
      <c r="B29" s="22" t="n">
        <v>3.5</v>
      </c>
      <c r="C29" s="10" t="inlineStr">
        <is>
          <t>м</t>
        </is>
      </c>
    </row>
    <row r="30">
      <c r="A30" s="10" t="inlineStr">
        <is>
          <t>Верхний ярус</t>
        </is>
      </c>
      <c r="B30" s="22" t="n">
        <v>6.8</v>
      </c>
      <c r="C30" s="10" t="inlineStr">
        <is>
          <t>м</t>
        </is>
      </c>
    </row>
    <row r="31">
      <c r="A31" s="10" t="inlineStr">
        <is>
          <t>Пандусов</t>
        </is>
      </c>
      <c r="B31" s="22" t="n">
        <v>0</v>
      </c>
      <c r="C31" s="10" t="inlineStr">
        <is>
          <t>шт</t>
        </is>
      </c>
    </row>
  </sheetData>
  <pageMargins left="0.75" right="0.75" top="1" bottom="1" header="0.5" footer="0.5"/>
  <pageSetup orientation="landscape" paperSize="9" fitToHeight="0" fitToWidth="1"/>
  <headerFooter>
    <oddHeader/>
    <oddFooter>&amp;LРасклад · предварительная оценка&amp;RЛист &amp;P из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9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14" customWidth="1" min="3" max="3"/>
    <col width="18" customWidth="1" min="4" max="4"/>
    <col width="9" customWidth="1" min="5" max="5"/>
    <col width="70" customWidth="1" min="6" max="6"/>
    <col width="10" customWidth="1" min="7" max="7"/>
    <col width="44" customWidth="1" min="8" max="8"/>
  </cols>
  <sheetData>
    <row r="1" ht="22" customHeight="1">
      <c r="A1" s="1" t="inlineStr">
        <is>
          <t>Откуда цифры</t>
        </is>
      </c>
    </row>
    <row r="2">
      <c r="A2" s="2" t="inlineStr">
        <is>
          <t>Склад, перевозка паллет между зонами · Ronavi H1500 (грузоподъемность до 1 500 кг) · расчет от 18.10.2026 22:58 мск · модель 0.2</t>
        </is>
      </c>
    </row>
    <row r="3">
      <c r="A3" s="3" t="inlineStr">
        <is>
          <t>Предварительная оценка, не коммерческое предложение</t>
        </is>
      </c>
    </row>
    <row r="4">
      <c r="A4" s="2" t="inlineStr">
        <is>
          <t>Доверие: S закон или норматив, A проверено, B сходятся два источника, C один источник, D только каталог ФЦ БАС или СМИ, E источники расходятся, F наше допущение</t>
        </is>
      </c>
    </row>
    <row r="5">
      <c r="A5" s="4" t="inlineStr">
        <is>
          <t>Группа</t>
        </is>
      </c>
      <c r="B5" s="5" t="inlineStr">
        <is>
          <t>Значение</t>
        </is>
      </c>
      <c r="C5" s="5" t="inlineStr">
        <is>
          <t>Число</t>
        </is>
      </c>
      <c r="D5" s="5" t="inlineStr">
        <is>
          <t>Единица</t>
        </is>
      </c>
      <c r="E5" s="5" t="inlineStr">
        <is>
          <t>Доверие</t>
        </is>
      </c>
      <c r="F5" s="5" t="inlineStr">
        <is>
          <t>Источник</t>
        </is>
      </c>
      <c r="G5" s="5" t="inlineStr">
        <is>
          <t>Дата</t>
        </is>
      </c>
      <c r="H5" s="5" t="inlineStr">
        <is>
          <t>Путь в модели</t>
        </is>
      </c>
    </row>
    <row r="6">
      <c r="A6" s="9" t="inlineStr">
        <is>
          <t>Решение</t>
        </is>
      </c>
      <c r="B6" s="10" t="inlineStr">
        <is>
          <t>Средняя мощность</t>
        </is>
      </c>
      <c r="C6" s="22" t="n">
        <v>0.72</v>
      </c>
      <c r="D6" s="9" t="inlineStr">
        <is>
          <t>кВт</t>
        </is>
      </c>
      <c r="E6" s="34" t="inlineStr">
        <is>
          <t>C</t>
        </is>
      </c>
      <c r="F6" s="9" t="inlineStr">
        <is>
          <t>Паспорт Ronavi H1500 (robob2b.ru): батарея 60 А*ч при 48 В, 2,88 кВт*ч, не менее 4 ч работы; 2,88 / 4 = 0,72 кВт, верхняя оценка средней мощности</t>
        </is>
      </c>
      <c r="G6" s="9" t="inlineStr">
        <is>
          <t>2026-09</t>
        </is>
      </c>
      <c r="H6" s="9" t="inlineStr">
        <is>
          <t>robots.ronavi-h1500.avg_power_kw</t>
        </is>
      </c>
    </row>
    <row r="7">
      <c r="A7" s="9" t="inlineStr">
        <is>
          <t>Решение</t>
        </is>
      </c>
      <c r="B7" s="10" t="inlineStr">
        <is>
          <t>Средняя скорость</t>
        </is>
      </c>
      <c r="C7" s="22" t="n">
        <v>1</v>
      </c>
      <c r="D7" s="9" t="inlineStr">
        <is>
          <t>м/с</t>
        </is>
      </c>
      <c r="E7" s="34" t="inlineStr">
        <is>
          <t>C</t>
        </is>
      </c>
      <c r="F7" s="9" t="inlineStr">
        <is>
          <t>Ronavi, разбор цикла 24.04.2025: "Средняя скорость робота: 1 м/с. Длина маршрута в одну сторону: 60 м, полный цикл 120 м, около 120 секунд"</t>
        </is>
      </c>
      <c r="G7" s="9" t="inlineStr">
        <is>
          <t>2025-04</t>
        </is>
      </c>
      <c r="H7" s="9" t="inlineStr">
        <is>
          <t>robots.ronavi-h1500.avg_speed_m_s</t>
        </is>
      </c>
    </row>
    <row r="8">
      <c r="A8" s="9" t="inlineStr">
        <is>
          <t>Решение</t>
        </is>
      </c>
      <c r="B8" s="10" t="inlineStr">
        <is>
          <t>Срок службы аккумулятора</t>
        </is>
      </c>
      <c r="C8" s="22" t="n">
        <v>3</v>
      </c>
      <c r="D8" s="9" t="inlineStr">
        <is>
          <t>лет</t>
        </is>
      </c>
      <c r="E8" s="34" t="inlineStr">
        <is>
          <t>D</t>
        </is>
      </c>
      <c r="F8" s="9" t="inlineStr">
        <is>
          <t>Отраслевой датасет по складам, лист "Легенда": замена АКБ раз в 3-5 лет; при работе 22 ч без выходных берем 3</t>
        </is>
      </c>
      <c r="G8" s="9" t="inlineStr">
        <is>
          <t>2026-09</t>
        </is>
      </c>
      <c r="H8" s="9" t="inlineStr">
        <is>
          <t>robots.ronavi-h1500.battery_life_years</t>
        </is>
      </c>
    </row>
    <row r="9">
      <c r="A9" s="9" t="inlineStr">
        <is>
          <t>Решение</t>
        </is>
      </c>
      <c r="B9" s="10" t="inlineStr">
        <is>
          <t>Цена аккумулятора</t>
        </is>
      </c>
      <c r="C9" s="22" t="n">
        <v>158000</v>
      </c>
      <c r="D9" s="9" t="inlineStr">
        <is>
          <t>₽</t>
        </is>
      </c>
      <c r="E9" s="34" t="inlineStr">
        <is>
          <t>D</t>
        </is>
      </c>
      <c r="F9" s="9" t="inlineStr">
        <is>
          <t>Паспорт Ronavi H1500: 2,88 кВт*ч * 55 000 руб; тяговая LiFePO4 48 В 100 А*ч за 168 800 и 265 200 руб (интеграторы, аналог), 35-55 тыс. руб за кВт*ч, берем худшее 55 тыс.</t>
        </is>
      </c>
      <c r="G9" s="9" t="inlineStr">
        <is>
          <t>2026-09</t>
        </is>
      </c>
      <c r="H9" s="9" t="inlineStr">
        <is>
          <t>robots.ronavi-h1500.battery_price_rub</t>
        </is>
      </c>
    </row>
    <row r="10">
      <c r="A10" s="9" t="inlineStr">
        <is>
          <t>Решение</t>
        </is>
      </c>
      <c r="B10" s="10" t="inlineStr">
        <is>
          <t>Время зарядки</t>
        </is>
      </c>
      <c r="C10" s="22" t="n">
        <v>0.3</v>
      </c>
      <c r="D10" s="9" t="inlineStr">
        <is>
          <t>ч</t>
        </is>
      </c>
      <c r="E10" s="34" t="inlineStr">
        <is>
          <t>E</t>
        </is>
      </c>
      <c r="F10" s="9" t="inlineStr">
        <is>
          <t>Каталог ФЦ БАС catalog_export_v4: зарядка 0,3 ч, быстрая зарядка у производителя около 18 мин; полная по паспорту 80 мин (data/specs/specs.csv)</t>
        </is>
      </c>
      <c r="G10" s="9" t="inlineStr">
        <is>
          <t>2026-09</t>
        </is>
      </c>
      <c r="H10" s="9" t="inlineStr">
        <is>
          <t>robots.ronavi-h1500.charge_time_h</t>
        </is>
      </c>
    </row>
    <row r="11">
      <c r="A11" s="9" t="inlineStr">
        <is>
          <t>Решение</t>
        </is>
      </c>
      <c r="B11" s="10" t="inlineStr">
        <is>
          <t>Цена зарядной станции</t>
        </is>
      </c>
      <c r="C11" s="22" t="n">
        <v>450000</v>
      </c>
      <c r="D11" s="9" t="inlineStr">
        <is>
          <t>₽</t>
        </is>
      </c>
      <c r="E11" s="34" t="inlineStr">
        <is>
          <t>C</t>
        </is>
      </c>
      <c r="F11" s="9" t="inlineStr">
        <is>
          <t>Ronavi Charger 450 000 руб, ronavi-robotics.ru/catalogue/charger (в статье Ronavi 2025 года 200-400 тыс.)</t>
        </is>
      </c>
      <c r="G11" s="9" t="inlineStr">
        <is>
          <t>2026-09</t>
        </is>
      </c>
      <c r="H11" s="9" t="inlineStr">
        <is>
          <t>robots.ronavi-h1500.charger_price_rub</t>
        </is>
      </c>
    </row>
    <row r="12">
      <c r="A12" s="9" t="inlineStr">
        <is>
          <t>Решение</t>
        </is>
      </c>
      <c r="B12" s="10" t="inlineStr">
        <is>
          <t>Пусконаладка, доля цены</t>
        </is>
      </c>
      <c r="C12" s="22" t="n">
        <v>0.1</v>
      </c>
      <c r="D12" s="9" t="inlineStr">
        <is>
          <t>доля цены робота</t>
        </is>
      </c>
      <c r="E12" s="34" t="inlineStr">
        <is>
          <t>F</t>
        </is>
      </c>
      <c r="F12" s="9" t="inlineStr">
        <is>
          <t>Нет источника: доля от стоимости оборудования. У лизинговой CHG-MERIDIAN "+30% к оборудованию", но туда входит интеграция, которую мы считаем отдельно в затратах объекта</t>
        </is>
      </c>
      <c r="G12" s="9" t="n"/>
      <c r="H12" s="9" t="inlineStr">
        <is>
          <t>robots.ronavi-h1500.commissioning_share</t>
        </is>
      </c>
    </row>
    <row r="13">
      <c r="A13" s="9" t="inlineStr">
        <is>
          <t>Решение</t>
        </is>
      </c>
      <c r="B13" s="10" t="inlineStr">
        <is>
          <t>Погрузка и выгрузка за рейс</t>
        </is>
      </c>
      <c r="C13" s="22" t="n">
        <v>20</v>
      </c>
      <c r="D13" s="9" t="inlineStr">
        <is>
          <t>с</t>
        </is>
      </c>
      <c r="E13" s="34" t="inlineStr">
        <is>
          <t>C</t>
        </is>
      </c>
      <c r="F13" s="9" t="inlineStr">
        <is>
          <t>Сумма подтвержденного: подъем 3-6 с и опускание столько же (Geek+ P-series "Minimum Lifting Time 4 s", MiR EU Pallet Lift 60 мм при 10 мм/с), развороты 4-5 с (Geek+ "90°/1.5s"); доводка и ожидание у точки 5-10 с источника не имеют</t>
        </is>
      </c>
      <c r="G13" s="9" t="inlineStr">
        <is>
          <t>2026-09</t>
        </is>
      </c>
      <c r="H13" s="9" t="inlineStr">
        <is>
          <t>robots.ronavi-h1500.handling_s</t>
        </is>
      </c>
    </row>
    <row r="14">
      <c r="A14" s="9" t="inlineStr">
        <is>
          <t>Решение</t>
        </is>
      </c>
      <c r="B14" s="10" t="inlineStr">
        <is>
          <t>Лицензия ПО в год</t>
        </is>
      </c>
      <c r="C14" s="22" t="n">
        <v>60000</v>
      </c>
      <c r="D14" s="9" t="inlineStr">
        <is>
          <t>₽ в год на робота</t>
        </is>
      </c>
      <c r="E14" s="34" t="inlineStr">
        <is>
          <t>D</t>
        </is>
      </c>
      <c r="F14" s="9" t="inlineStr">
        <is>
          <t>Robotsman RMS: подписка 5 000 руб в месяц за робота (аналог: российская платформа управления роботами)</t>
        </is>
      </c>
      <c r="G14" s="9" t="inlineStr">
        <is>
          <t>2026-09</t>
        </is>
      </c>
      <c r="H14" s="9" t="inlineStr">
        <is>
          <t>robots.ronavi-h1500.license_rub_year</t>
        </is>
      </c>
    </row>
    <row r="15">
      <c r="A15" s="9" t="inlineStr">
        <is>
          <t>Решение</t>
        </is>
      </c>
      <c r="B15" s="10" t="inlineStr">
        <is>
          <t>Обслуживание в год, доля цены</t>
        </is>
      </c>
      <c r="C15" s="22" t="n">
        <v>0.1</v>
      </c>
      <c r="D15" s="9" t="inlineStr">
        <is>
          <t>доля цены в год</t>
        </is>
      </c>
      <c r="E15" s="34" t="inlineStr">
        <is>
          <t>C</t>
        </is>
      </c>
      <c r="F15" s="9" t="inlineStr">
        <is>
          <t>Ronavi: обслуживание "около 10% от стоимости в год (~300 тыс. руб.)" для H1500 (блог Ronavi, 16.05.2025)</t>
        </is>
      </c>
      <c r="G15" s="9" t="inlineStr">
        <is>
          <t>2026-09</t>
        </is>
      </c>
      <c r="H15" s="9" t="inlineStr">
        <is>
          <t>robots.ronavi-h1500.maintenance_share_year</t>
        </is>
      </c>
    </row>
    <row r="16">
      <c r="A16" s="9" t="inlineStr">
        <is>
          <t>Решение</t>
        </is>
      </c>
      <c r="B16" s="10" t="inlineStr">
        <is>
          <t>Рейсов в час по паспорту</t>
        </is>
      </c>
      <c r="C16" s="22" t="n">
        <v>0</v>
      </c>
      <c r="D16" s="9" t="inlineStr">
        <is>
          <t>рейсов в час</t>
        </is>
      </c>
      <c r="E16" s="34" t="inlineStr">
        <is>
          <t>F</t>
        </is>
      </c>
      <c r="F16" s="9" t="inlineStr">
        <is>
          <t>Не задан: 80-100 паллет/ч из отраслевых примеров дано для типовой короткой зоны, считаем от маршрута</t>
        </is>
      </c>
      <c r="G16" s="9" t="inlineStr">
        <is>
          <t>2026-09</t>
        </is>
      </c>
      <c r="H16" s="9" t="inlineStr">
        <is>
          <t>robots.ronavi-h1500.nominal_trips_per_hour</t>
        </is>
      </c>
    </row>
    <row r="17">
      <c r="A17" s="9" t="inlineStr">
        <is>
          <t>Решение</t>
        </is>
      </c>
      <c r="B17" s="10" t="inlineStr">
        <is>
          <t>Внимание оператора, минут в час</t>
        </is>
      </c>
      <c r="C17" s="22" t="n">
        <v>1.5</v>
      </c>
      <c r="D17" s="9" t="inlineStr">
        <is>
          <t>мин в час</t>
        </is>
      </c>
      <c r="E17" s="34" t="inlineStr">
        <is>
          <t>F</t>
        </is>
      </c>
      <c r="F17" s="9" t="inlineStr">
        <is>
          <t>Считаем от сбоев: если робот требует внимания раз в 2-4 часа и на разбор уходит 3-5 минут, это 0,75-2,5 минуты в час, берем середину. Один оператор тянет около 40 роботов. Сама модель не наша: в исследованиях человеко-машинного взаимодействия это fan-out = 1 + время автономной работы / время вмешательства (Olsen, Goodrich). Эмпирика дает 4-6 роботов на оператора для телеуправляемых машин и 100+ для автономных роев, склад ближе ко второму. Конкретной цифры для складских AMR никто не публикует, поэтому оценка остается F</t>
        </is>
      </c>
      <c r="G17" s="9" t="inlineStr">
        <is>
          <t>2026-09</t>
        </is>
      </c>
      <c r="H17" s="9" t="inlineStr">
        <is>
          <t>robots.ronavi-h1500.operator_attention_min_per_hour</t>
        </is>
      </c>
    </row>
    <row r="18">
      <c r="A18" s="9" t="inlineStr">
        <is>
          <t>Решение</t>
        </is>
      </c>
      <c r="B18" s="10" t="inlineStr">
        <is>
          <t>Цена робота</t>
        </is>
      </c>
      <c r="C18" s="22" t="n">
        <v>2700000</v>
      </c>
      <c r="D18" s="9" t="inlineStr">
        <is>
          <t>₽</t>
        </is>
      </c>
      <c r="E18" s="34" t="inlineStr">
        <is>
          <t>B</t>
        </is>
      </c>
      <c r="F18" s="9" t="inlineStr">
        <is>
          <t>Каталог роботизированных решений ФЦ БАС (с НДС); на сайте производителя 2,16-2,7 млн</t>
        </is>
      </c>
      <c r="G18" s="9" t="inlineStr">
        <is>
          <t>2026-09</t>
        </is>
      </c>
      <c r="H18" s="9" t="inlineStr">
        <is>
          <t>robots.ronavi-h1500.price_rub</t>
        </is>
      </c>
    </row>
    <row r="19">
      <c r="A19" s="9" t="inlineStr">
        <is>
          <t>Решение</t>
        </is>
      </c>
      <c r="B19" s="10" t="inlineStr">
        <is>
          <t>Срок договора аренды</t>
        </is>
      </c>
      <c r="C19" s="22" t="n">
        <v>36</v>
      </c>
      <c r="D19" s="9" t="inlineStr">
        <is>
          <t>мес.</t>
        </is>
      </c>
      <c r="E19" s="34" t="inlineStr">
        <is>
          <t>C</t>
        </is>
      </c>
      <c r="F19" s="9" t="inlineStr">
        <is>
          <t>Яндекс Роботикс: подписка на 36 мес; Ronavi: оплата за действие от ~30 мес (ronavi-robotics.ru/pricing)</t>
        </is>
      </c>
      <c r="G19" s="9" t="inlineStr">
        <is>
          <t>2026-09</t>
        </is>
      </c>
      <c r="H19" s="9" t="inlineStr">
        <is>
          <t>robots.ronavi-h1500.raas.contract_months</t>
        </is>
      </c>
    </row>
    <row r="20">
      <c r="A20" s="9" t="inlineStr">
        <is>
          <t>Решение</t>
        </is>
      </c>
      <c r="B20" s="10" t="inlineStr">
        <is>
          <t>Ответственность за порчу в аренде</t>
        </is>
      </c>
      <c r="C20" s="22" t="n">
        <v>0.01</v>
      </c>
      <c r="D20" s="9" t="inlineStr">
        <is>
          <t>доля цены в год</t>
        </is>
      </c>
      <c r="E20" s="34" t="inlineStr">
        <is>
          <t>F</t>
        </is>
      </c>
      <c r="F20" s="9" t="inlineStr">
        <is>
          <t>Нет источника: условие договора аренды</t>
        </is>
      </c>
      <c r="G20" s="9" t="n"/>
      <c r="H20" s="9" t="inlineStr">
        <is>
          <t>robots.ronavi-h1500.raas.damage_share_year</t>
        </is>
      </c>
    </row>
    <row r="21">
      <c r="A21" s="9" t="inlineStr">
        <is>
          <t>Решение</t>
        </is>
      </c>
      <c r="B21" s="10" t="inlineStr">
        <is>
          <t>Аренда в месяц</t>
        </is>
      </c>
      <c r="C21" s="22" t="n">
        <v>100000</v>
      </c>
      <c r="D21" s="9" t="inlineStr">
        <is>
          <t>₽ в месяц за робота</t>
        </is>
      </c>
      <c r="E21" s="34" t="inlineStr">
        <is>
          <t>D</t>
        </is>
      </c>
      <c r="F21" s="9" t="inlineStr">
        <is>
          <t>Ronavi H1500 по подписке "от 100 тыс. руб. в месяц", пресс-релиз РОСНАНО 27.09.2019, rusnano.com; цена 2019 года без индексации</t>
        </is>
      </c>
      <c r="G21" s="9" t="inlineStr">
        <is>
          <t>2026-09</t>
        </is>
      </c>
      <c r="H21" s="9" t="inlineStr">
        <is>
          <t>robots.ronavi-h1500.raas.fee_rub_month</t>
        </is>
      </c>
    </row>
    <row r="22">
      <c r="A22" s="9" t="inlineStr">
        <is>
          <t>Решение</t>
        </is>
      </c>
      <c r="B22" s="10" t="inlineStr">
        <is>
          <t>Присмотр за парком в аренде</t>
        </is>
      </c>
      <c r="C22" s="22" t="n">
        <v>0</v>
      </c>
      <c r="D22" s="9" t="inlineStr">
        <is>
          <t>доля</t>
        </is>
      </c>
      <c r="E22" s="34" t="inlineStr">
        <is>
          <t>F</t>
        </is>
      </c>
      <c r="F22" s="9" t="inlineStr">
        <is>
          <t>Сколько присмотра за парком берет на себя поставщик при аренде. У Автомакона в платеж входят "мониторинг и поддержка 24/7, диагностика, техническое обслуживание, запасные части, ремонт", у Ronavi "техподдержка и ПО". Но разбирать сбой на месте все равно кому-то надо, а доли никто не публикует. По умолчанию ноль: присмотр целиком на клиенте</t>
        </is>
      </c>
      <c r="G22" s="9" t="n"/>
      <c r="H22" s="9" t="inlineStr">
        <is>
          <t>robots.ronavi-h1500.raas.support_share</t>
        </is>
      </c>
    </row>
    <row r="23">
      <c r="A23" s="9" t="inlineStr">
        <is>
          <t>Решение</t>
        </is>
      </c>
      <c r="B23" s="10" t="inlineStr">
        <is>
          <t>Роботов на одну зарядку</t>
        </is>
      </c>
      <c r="C23" s="22" t="n">
        <v>4</v>
      </c>
      <c r="D23" s="9" t="inlineStr">
        <is>
          <t>роботов</t>
        </is>
      </c>
      <c r="E23" s="34" t="inlineStr">
        <is>
          <t>C</t>
        </is>
      </c>
      <c r="F23" s="9" t="inlineStr">
        <is>
          <t>Ronavi: "одна станция рассчитана на 4-5 роботов" (блог Ronavi, 24.04.2025), берем худшее 4</t>
        </is>
      </c>
      <c r="G23" s="9" t="inlineStr">
        <is>
          <t>2026-09</t>
        </is>
      </c>
      <c r="H23" s="9" t="inlineStr">
        <is>
          <t>robots.ronavi-h1500.robots_per_charger</t>
        </is>
      </c>
    </row>
    <row r="24">
      <c r="A24" s="9" t="inlineStr">
        <is>
          <t>Решение</t>
        </is>
      </c>
      <c r="B24" s="10" t="inlineStr">
        <is>
          <t>Работа от одной зарядки</t>
        </is>
      </c>
      <c r="C24" s="22" t="n">
        <v>6</v>
      </c>
      <c r="D24" s="9" t="inlineStr">
        <is>
          <t>ч</t>
        </is>
      </c>
      <c r="E24" s="34" t="inlineStr">
        <is>
          <t>E</t>
        </is>
      </c>
      <c r="F24" s="9" t="inlineStr">
        <is>
          <t>Каталог ФЦ БАС catalog_export_v4: 6 ч работы от батареи. У производителя на сайте до 10 ч на окне заряда 80-20%, в паспорте (robob2b.ru) не менее 4 ч. По правилам данных остается цифра каталога ФЦ БАС (data/specs/specs.csv)</t>
        </is>
      </c>
      <c r="G24" s="9" t="inlineStr">
        <is>
          <t>2026-09</t>
        </is>
      </c>
      <c r="H24" s="9" t="inlineStr">
        <is>
          <t>robots.ronavi-h1500.run_time_h</t>
        </is>
      </c>
    </row>
    <row r="25">
      <c r="A25" s="9" t="inlineStr">
        <is>
          <t>Решение</t>
        </is>
      </c>
      <c r="B25" s="10" t="inlineStr">
        <is>
          <t>Срок службы робота</t>
        </is>
      </c>
      <c r="C25" s="22" t="n">
        <v>5</v>
      </c>
      <c r="D25" s="9" t="inlineStr">
        <is>
          <t>лет</t>
        </is>
      </c>
      <c r="E25" s="34" t="inlineStr">
        <is>
          <t>C</t>
        </is>
      </c>
      <c r="F25" s="9" t="inlineStr">
        <is>
          <t>Постановление № 1: промышленные транспортные роботы (ОКОФ 330.28.99.39.213), 3 группа 3-5 лет, audit-it.ru</t>
        </is>
      </c>
      <c r="G25" s="9" t="inlineStr">
        <is>
          <t>2026-09</t>
        </is>
      </c>
      <c r="H25" s="9" t="inlineStr">
        <is>
          <t>robots.ronavi-h1500.service_life_years</t>
        </is>
      </c>
    </row>
    <row r="26">
      <c r="A26" s="9" t="inlineStr">
        <is>
          <t>Решение</t>
        </is>
      </c>
      <c r="B26" s="10" t="inlineStr">
        <is>
          <t>ПО управления парком</t>
        </is>
      </c>
      <c r="C26" s="22" t="n">
        <v>1500000</v>
      </c>
      <c r="D26" s="9" t="inlineStr">
        <is>
          <t>₽</t>
        </is>
      </c>
      <c r="E26" s="34" t="inlineStr">
        <is>
          <t>D</t>
        </is>
      </c>
      <c r="F26" s="9" t="inlineStr">
        <is>
          <t>Ronavi: внедрение RMS 0,5-2 млн руб на проект; Robotsman RMS: бессрочная лицензия от 1 млн руб. Интеграцию с WMS считаем отдельно в затратах объекта</t>
        </is>
      </c>
      <c r="G26" s="9" t="inlineStr">
        <is>
          <t>2026-09</t>
        </is>
      </c>
      <c r="H26" s="9" t="inlineStr">
        <is>
          <t>robots.ronavi-h1500.software_rub</t>
        </is>
      </c>
    </row>
    <row r="27">
      <c r="A27" s="9" t="inlineStr">
        <is>
          <t>Решение</t>
        </is>
      </c>
      <c r="B27" s="10" t="inlineStr">
        <is>
          <t>Цена станции комплектации</t>
        </is>
      </c>
      <c r="C27" s="22" t="n">
        <v>0</v>
      </c>
      <c r="D27" s="9" t="inlineStr">
        <is>
          <t>₽</t>
        </is>
      </c>
      <c r="E27" s="34" t="inlineStr">
        <is>
          <t>F</t>
        </is>
      </c>
      <c r="F27" s="9" t="inlineStr">
        <is>
          <t>Не нужна для перевозки</t>
        </is>
      </c>
      <c r="G27" s="9" t="inlineStr">
        <is>
          <t>2026-09</t>
        </is>
      </c>
      <c r="H27" s="9" t="inlineStr">
        <is>
          <t>robots.ronavi-h1500.station_price_rub</t>
        </is>
      </c>
    </row>
    <row r="28">
      <c r="A28" s="9" t="inlineStr">
        <is>
          <t>Решение</t>
        </is>
      </c>
      <c r="B28" s="10" t="inlineStr">
        <is>
          <t>Загрузка робота</t>
        </is>
      </c>
      <c r="C28" s="22" t="n">
        <v>0.75</v>
      </c>
      <c r="D28" s="9" t="inlineStr">
        <is>
          <t>доля</t>
        </is>
      </c>
      <c r="E28" s="34" t="inlineStr">
        <is>
          <t>B</t>
        </is>
      </c>
      <c r="F28" s="9" t="inlineStr">
        <is>
          <t>Отраслевой датасет по складам, лист "Легенда": загрузка AMR 70-85% (зарядка, простои, ожидание). Сходится с Ronavi: подзарядка 10-15 мин каждые 45-50 мин работы</t>
        </is>
      </c>
      <c r="G28" s="9" t="inlineStr">
        <is>
          <t>2026-09</t>
        </is>
      </c>
      <c r="H28" s="9" t="inlineStr">
        <is>
          <t>robots.ronavi-h1500.utilization</t>
        </is>
      </c>
    </row>
    <row r="29">
      <c r="A29" s="9" t="inlineStr">
        <is>
          <t>Деньги, налоги, цены</t>
        </is>
      </c>
      <c r="B29" s="10" t="inlineStr">
        <is>
          <t>Рабочих часов в году на ставку</t>
        </is>
      </c>
      <c r="C29" s="22" t="n">
        <v>1972</v>
      </c>
      <c r="D29" s="9" t="inlineStr">
        <is>
          <t>ч в год</t>
        </is>
      </c>
      <c r="E29" s="34" t="inlineStr">
        <is>
          <t>S</t>
        </is>
      </c>
      <c r="F29" s="9" t="inlineStr">
        <is>
          <t>Производственный календарь 2026, 40-часовая неделя, consultant.ru/law/ref/calendar/proizvodstvennye/2026/</t>
        </is>
      </c>
      <c r="G29" s="9" t="inlineStr">
        <is>
          <t>2026-09</t>
        </is>
      </c>
      <c r="H29" s="9" t="inlineStr">
        <is>
          <t>economics.annual_work_hours</t>
        </is>
      </c>
    </row>
    <row r="30">
      <c r="A30" s="9" t="inlineStr">
        <is>
          <t>Деньги, налоги, цены</t>
        </is>
      </c>
      <c r="B30" s="10" t="inlineStr">
        <is>
          <t>Резерв на непредвиденное, доля вложений</t>
        </is>
      </c>
      <c r="C30" s="22" t="n">
        <v>0.1</v>
      </c>
      <c r="D30" s="9" t="inlineStr">
        <is>
          <t>доля</t>
        </is>
      </c>
      <c r="E30" s="34" t="inlineStr">
        <is>
          <t>D</t>
        </is>
      </c>
      <c r="F30" s="9" t="inlineStr">
        <is>
          <t>Отраслевой датасет по складам, лист "Легенда": CAPEX включает резерв 10%</t>
        </is>
      </c>
      <c r="G30" s="9" t="inlineStr">
        <is>
          <t>2026-09</t>
        </is>
      </c>
      <c r="H30" s="9" t="inlineStr">
        <is>
          <t>economics.capex_reserve_share</t>
        </is>
      </c>
    </row>
    <row r="31">
      <c r="A31" s="9" t="inlineStr">
        <is>
          <t>Деньги, налоги, цены</t>
        </is>
      </c>
      <c r="B31" s="10" t="inlineStr">
        <is>
          <t>Ставка дисконтирования</t>
        </is>
      </c>
      <c r="C31" s="22" t="n">
        <v>0.14</v>
      </c>
      <c r="D31" s="9" t="inlineStr">
        <is>
          <t>доля в год</t>
        </is>
      </c>
      <c r="E31" s="34" t="inlineStr">
        <is>
          <t>C</t>
        </is>
      </c>
      <c r="F31" s="9" t="inlineStr">
        <is>
          <t>Ключевая ставка ЦБ 14,00%, решение 11.09.2026, без премии за риск</t>
        </is>
      </c>
      <c r="G31" s="9" t="inlineStr">
        <is>
          <t>2026-09</t>
        </is>
      </c>
      <c r="H31" s="9" t="inlineStr">
        <is>
          <t>economics.discount_rate</t>
        </is>
      </c>
    </row>
    <row r="32">
      <c r="A32" s="9" t="inlineStr">
        <is>
          <t>Деньги, налоги, цены</t>
        </is>
      </c>
      <c r="B32" s="10" t="inlineStr">
        <is>
          <t>Рост цены электроэнергии в год</t>
        </is>
      </c>
      <c r="C32" s="22" t="n">
        <v>0.09</v>
      </c>
      <c r="D32" s="9" t="inlineStr">
        <is>
          <t>доля в год</t>
        </is>
      </c>
      <c r="E32" s="34" t="inlineStr">
        <is>
          <t>C</t>
        </is>
      </c>
      <c r="F32" s="9" t="inlineStr">
        <is>
          <t>Сценарные условия Минэкономразвития на 2027-2029, 12.05.2026, garant.ru/products/ipo/prime/doc/414115625/: сетевые тарифы для прочих +13,0% (2027), +8,9% (2028), +6,3% (2029), в среднем около 9%</t>
        </is>
      </c>
      <c r="G32" s="9" t="inlineStr">
        <is>
          <t>2026-09</t>
        </is>
      </c>
      <c r="H32" s="9" t="inlineStr">
        <is>
          <t>economics.energy_price_growth</t>
        </is>
      </c>
    </row>
    <row r="33">
      <c r="A33" s="9" t="inlineStr">
        <is>
          <t>Деньги, налоги, цены</t>
        </is>
      </c>
      <c r="B33" s="10" t="inlineStr">
        <is>
          <t>Тариф на электроэнергию</t>
        </is>
      </c>
      <c r="C33" s="22" t="n">
        <v>9</v>
      </c>
      <c r="D33" s="9" t="inlineStr">
        <is>
          <t>₽ за кВт·ч</t>
        </is>
      </c>
      <c r="E33" s="34" t="inlineStr">
        <is>
          <t>F</t>
        </is>
      </c>
      <c r="F33" s="9" t="inlineStr">
        <is>
          <t>Нет подтвержденного источника: взять предельный уровень нерегулируемых цен на mosenergosbyt.ru, СН2/НН</t>
        </is>
      </c>
      <c r="G33" s="9" t="n"/>
      <c r="H33" s="9" t="inlineStr">
        <is>
          <t>economics.energy_price_rub_kwh</t>
        </is>
      </c>
    </row>
    <row r="34">
      <c r="A34" s="9" t="inlineStr">
        <is>
          <t>Деньги, налоги, цены</t>
        </is>
      </c>
      <c r="B34" s="10" t="inlineStr">
        <is>
          <t>Горизонт расчета</t>
        </is>
      </c>
      <c r="C34" s="22" t="n">
        <v>5</v>
      </c>
      <c r="D34" s="9" t="inlineStr">
        <is>
          <t>лет</t>
        </is>
      </c>
      <c r="E34" s="34" t="inlineStr">
        <is>
          <t>D</t>
        </is>
      </c>
      <c r="F34" s="9" t="inlineStr">
        <is>
          <t>Отраслевой датасет по складам, лист "Склад": горизонт окупаемости 5 лет (3-10)</t>
        </is>
      </c>
      <c r="G34" s="9" t="inlineStr">
        <is>
          <t>2026-09</t>
        </is>
      </c>
      <c r="H34" s="9" t="inlineStr">
        <is>
          <t>economics.horizon_years</t>
        </is>
      </c>
    </row>
    <row r="35">
      <c r="A35" s="9" t="inlineStr">
        <is>
          <t>Деньги, налоги, цены</t>
        </is>
      </c>
      <c r="B35" s="10" t="inlineStr">
        <is>
          <t>Инфляция в год</t>
        </is>
      </c>
      <c r="C35" s="22" t="n">
        <v>0.04</v>
      </c>
      <c r="D35" s="9" t="inlineStr">
        <is>
          <t>доля в год</t>
        </is>
      </c>
      <c r="E35" s="34" t="inlineStr">
        <is>
          <t>C</t>
        </is>
      </c>
      <c r="F35" s="9" t="inlineStr">
        <is>
          <t>Прогноз ЦБ 11.09.2026: 4,0% в 2027; МЭР: 4,0% в 2027-2029</t>
        </is>
      </c>
      <c r="G35" s="9" t="inlineStr">
        <is>
          <t>2026-09</t>
        </is>
      </c>
      <c r="H35" s="9" t="inlineStr">
        <is>
          <t>economics.inflation</t>
        </is>
      </c>
    </row>
    <row r="36">
      <c r="A36" s="9" t="inlineStr">
        <is>
          <t>Деньги, налоги, цены</t>
        </is>
      </c>
      <c r="B36" s="10" t="inlineStr">
        <is>
          <t>Границы оценки окупаемости, лет</t>
        </is>
      </c>
      <c r="C36" s="10" t="inlineStr">
        <is>
          <t>3 - 5</t>
        </is>
      </c>
      <c r="D36" s="9" t="inlineStr">
        <is>
          <t>лет</t>
        </is>
      </c>
      <c r="E36" s="34" t="inlineStr">
        <is>
          <t>S</t>
        </is>
      </c>
      <c r="F36" s="9" t="inlineStr">
        <is>
          <t>ТЗ, п. 3.5.7: интервалы до 3 лет, 3-5 лет, более 5 лет</t>
        </is>
      </c>
      <c r="G36" s="9" t="inlineStr">
        <is>
          <t>2026-09</t>
        </is>
      </c>
      <c r="H36" s="9" t="inlineStr">
        <is>
          <t>economics.payback_bands_years</t>
        </is>
      </c>
    </row>
    <row r="37">
      <c r="A37" s="9" t="inlineStr">
        <is>
          <t>Деньги, налоги, цены</t>
        </is>
      </c>
      <c r="B37" s="10" t="inlineStr">
        <is>
          <t>Найм одного человека, окладов</t>
        </is>
      </c>
      <c r="C37" s="22" t="n">
        <v>0</v>
      </c>
      <c r="D37" s="9" t="inlineStr">
        <is>
          <t>окладов</t>
        </is>
      </c>
      <c r="E37" s="34" t="inlineStr">
        <is>
          <t>F</t>
        </is>
      </c>
      <c r="F37" s="9" t="inlineStr">
        <is>
          <t>Нет источника, пока не учитываем</t>
        </is>
      </c>
      <c r="G37" s="9" t="n"/>
      <c r="H37" s="9" t="inlineStr">
        <is>
          <t>economics.payroll.hire_cost_months</t>
        </is>
      </c>
    </row>
    <row r="38">
      <c r="A38" s="9" t="inlineStr">
        <is>
          <t>Деньги, налоги, цены</t>
        </is>
      </c>
      <c r="B38" s="10" t="inlineStr">
        <is>
          <t>Взнос от несчастных случаев</t>
        </is>
      </c>
      <c r="C38" s="22" t="n">
        <v>0.006</v>
      </c>
      <c r="D38" s="9" t="inlineStr">
        <is>
          <t>доля оклада</t>
        </is>
      </c>
      <c r="E38" s="34" t="inlineStr">
        <is>
          <t>S</t>
        </is>
      </c>
      <c r="F38" s="9" t="inlineStr">
        <is>
          <t>ОКВЭД 52.10: 5 класс профриска (приказ Минтруда 851н), тариф 0,6% (179-ФЗ, 434-ФЗ). В датасете 0,2%</t>
        </is>
      </c>
      <c r="G38" s="9" t="inlineStr">
        <is>
          <t>2026-09</t>
        </is>
      </c>
      <c r="H38" s="9" t="inlineStr">
        <is>
          <t>economics.payroll.injury_insurance_rate</t>
        </is>
      </c>
    </row>
    <row r="39">
      <c r="A39" s="9" t="inlineStr">
        <is>
          <t>Деньги, налоги, цены</t>
        </is>
      </c>
      <c r="B39" s="10" t="inlineStr">
        <is>
          <t>Предельная база страховых взносов</t>
        </is>
      </c>
      <c r="C39" s="22" t="n">
        <v>2979000</v>
      </c>
      <c r="D39" s="9" t="inlineStr">
        <is>
          <t>₽ в год</t>
        </is>
      </c>
      <c r="E39" s="34" t="inlineStr">
        <is>
          <t>S</t>
        </is>
      </c>
      <c r="F39" s="9" t="inlineStr">
        <is>
          <t>Постановление Правительства от 31.10.2025 № 1705</t>
        </is>
      </c>
      <c r="G39" s="9" t="inlineStr">
        <is>
          <t>2026-09</t>
        </is>
      </c>
      <c r="H39" s="9" t="inlineStr">
        <is>
          <t>economics.payroll.insurance_base_limit_rub</t>
        </is>
      </c>
    </row>
    <row r="40">
      <c r="A40" s="9" t="inlineStr">
        <is>
          <t>Деньги, налоги, цены</t>
        </is>
      </c>
      <c r="B40" s="10" t="inlineStr">
        <is>
          <t>Страховые взносы</t>
        </is>
      </c>
      <c r="C40" s="22" t="n">
        <v>0.3</v>
      </c>
      <c r="D40" s="9" t="inlineStr">
        <is>
          <t>доля оклада</t>
        </is>
      </c>
      <c r="E40" s="34" t="inlineStr">
        <is>
          <t>S</t>
        </is>
      </c>
      <c r="F40" s="9" t="inlineStr">
        <is>
          <t>НК РФ ст. 425, редакция 04.08.2026</t>
        </is>
      </c>
      <c r="G40" s="9" t="inlineStr">
        <is>
          <t>2026-09</t>
        </is>
      </c>
      <c r="H40" s="9" t="inlineStr">
        <is>
          <t>economics.payroll.insurance_rate</t>
        </is>
      </c>
    </row>
    <row r="41">
      <c r="A41" s="9" t="inlineStr">
        <is>
          <t>Деньги, налоги, цены</t>
        </is>
      </c>
      <c r="B41" s="10" t="inlineStr">
        <is>
          <t>Взносы сверх предельной базы</t>
        </is>
      </c>
      <c r="C41" s="22" t="n">
        <v>0.151</v>
      </c>
      <c r="D41" s="9" t="inlineStr">
        <is>
          <t>доля оклада</t>
        </is>
      </c>
      <c r="E41" s="34" t="inlineStr">
        <is>
          <t>S</t>
        </is>
      </c>
      <c r="F41" s="9" t="inlineStr">
        <is>
          <t>НК РФ ст. 425, редакция 04.08.2026</t>
        </is>
      </c>
      <c r="G41" s="9" t="inlineStr">
        <is>
          <t>2026-09</t>
        </is>
      </c>
      <c r="H41" s="9" t="inlineStr">
        <is>
          <t>economics.payroll.insurance_rate_above_limit</t>
        </is>
      </c>
    </row>
    <row r="42">
      <c r="A42" s="9" t="inlineStr">
        <is>
          <t>Деньги, налоги, цены</t>
        </is>
      </c>
      <c r="B42" s="10" t="inlineStr">
        <is>
          <t>Текучесть персонала в год</t>
        </is>
      </c>
      <c r="C42" s="22" t="n">
        <v>0</v>
      </c>
      <c r="D42" s="9" t="inlineStr">
        <is>
          <t>доля в год</t>
        </is>
      </c>
      <c r="E42" s="34" t="inlineStr">
        <is>
          <t>F</t>
        </is>
      </c>
      <c r="F42" s="9" t="inlineStr">
        <is>
          <t>Для склада в датасете нет, пока не учитываем</t>
        </is>
      </c>
      <c r="G42" s="9" t="n"/>
      <c r="H42" s="9" t="inlineStr">
        <is>
          <t>economics.payroll.turnover_rate</t>
        </is>
      </c>
    </row>
    <row r="43">
      <c r="A43" s="9" t="inlineStr">
        <is>
          <t>Деньги, налоги, цены</t>
        </is>
      </c>
      <c r="B43" s="10" t="inlineStr">
        <is>
          <t>Спецодежда на человека в год</t>
        </is>
      </c>
      <c r="C43" s="22" t="n">
        <v>0</v>
      </c>
      <c r="D43" s="9" t="inlineStr">
        <is>
          <t>₽ в год</t>
        </is>
      </c>
      <c r="E43" s="34" t="inlineStr">
        <is>
          <t>F</t>
        </is>
      </c>
      <c r="F43" s="9" t="inlineStr">
        <is>
          <t>Нет источника, пока не учитываем</t>
        </is>
      </c>
      <c r="G43" s="9" t="n"/>
      <c r="H43" s="9" t="inlineStr">
        <is>
          <t>economics.payroll.workwear_rub_year</t>
        </is>
      </c>
    </row>
    <row r="44">
      <c r="A44" s="9" t="inlineStr">
        <is>
          <t>Деньги, налоги, цены</t>
        </is>
      </c>
      <c r="B44" s="10" t="inlineStr">
        <is>
          <t>Запас парка на пик</t>
        </is>
      </c>
      <c r="C44" s="22" t="n">
        <v>0.15</v>
      </c>
      <c r="D44" s="9" t="inlineStr">
        <is>
          <t>доля</t>
        </is>
      </c>
      <c r="E44" s="34" t="inlineStr">
        <is>
          <t>D</t>
        </is>
      </c>
      <c r="F44" s="9" t="inlineStr">
        <is>
          <t>Отраслевой датасет по складам, лист "Легенда": резерв 15-20%, берем нижнюю границу</t>
        </is>
      </c>
      <c r="G44" s="9" t="inlineStr">
        <is>
          <t>2026-09</t>
        </is>
      </c>
      <c r="H44" s="9" t="inlineStr">
        <is>
          <t>economics.peak_reserve_share</t>
        </is>
      </c>
    </row>
    <row r="45">
      <c r="A45" s="9" t="inlineStr">
        <is>
          <t>Деньги, налоги, цены</t>
        </is>
      </c>
      <c r="B45" s="10" t="inlineStr">
        <is>
          <t>Начало первой смены</t>
        </is>
      </c>
      <c r="C45" s="22" t="n">
        <v>6</v>
      </c>
      <c r="D45" s="9" t="inlineStr">
        <is>
          <t>ч</t>
        </is>
      </c>
      <c r="E45" s="34" t="inlineStr">
        <is>
          <t>F</t>
        </is>
      </c>
      <c r="F45" s="9" t="inlineStr">
        <is>
          <t>Допущение команды: первая смена начинается в 06:00, поэтому ночные часы это часы работы сверх 16 в сутки</t>
        </is>
      </c>
      <c r="G45" s="9" t="n"/>
      <c r="H45" s="9" t="inlineStr">
        <is>
          <t>economics.peak_staffing.day_start_h</t>
        </is>
      </c>
    </row>
    <row r="46">
      <c r="A46" s="9" t="inlineStr">
        <is>
          <t>Деньги, налоги, цены</t>
        </is>
      </c>
      <c r="B46" s="10" t="inlineStr">
        <is>
          <t>Доплата за ночные часы</t>
        </is>
      </c>
      <c r="C46" s="22" t="n">
        <v>0.2</v>
      </c>
      <c r="D46" s="9" t="inlineStr">
        <is>
          <t>доля</t>
        </is>
      </c>
      <c r="E46" s="34" t="inlineStr">
        <is>
          <t>S</t>
        </is>
      </c>
      <c r="F46" s="9" t="inlineStr">
        <is>
          <t>ТК РФ ст. 154 и постановление Правительства № 554 от 22.07.2008: час работы с 22:00 до 06:00 оплачивается не меньше чем на 20% выше</t>
        </is>
      </c>
      <c r="G46" s="9" t="inlineStr">
        <is>
          <t>2026-10</t>
        </is>
      </c>
      <c r="H46" s="9" t="inlineStr">
        <is>
          <t>economics.peak_staffing.night_surcharge</t>
        </is>
      </c>
    </row>
    <row r="47">
      <c r="A47" s="9" t="inlineStr">
        <is>
          <t>Деньги, налоги, цены</t>
        </is>
      </c>
      <c r="B47" s="10" t="inlineStr">
        <is>
          <t>Час временного персонала в пик</t>
        </is>
      </c>
      <c r="C47" s="22" t="n">
        <v>320</v>
      </c>
      <c r="D47" s="9" t="inlineStr">
        <is>
          <t>₽ в час</t>
        </is>
      </c>
      <c r="E47" s="34" t="inlineStr">
        <is>
          <t>C</t>
        </is>
      </c>
      <c r="F47" s="9" t="inlineStr">
        <is>
          <t>Аутстаффинг складского персонала, Москва и Санкт-Петербург: 320-650 руб/ч (прайсы algorithm24.ru/tseny и spb.leaderg.ru/autsorsing/skladskogo-personala, сверка 17.10.2026), берем нижнюю: выгода роботов от пика не завышена</t>
        </is>
      </c>
      <c r="G47" s="9" t="inlineStr">
        <is>
          <t>2026-10</t>
        </is>
      </c>
      <c r="H47" s="9" t="inlineStr">
        <is>
          <t>economics.peak_staffing.temp_rate_rub_hour</t>
        </is>
      </c>
    </row>
    <row r="48">
      <c r="A48" s="9" t="inlineStr">
        <is>
          <t>Деньги, налоги, цены</t>
        </is>
      </c>
      <c r="B48" s="10" t="inlineStr">
        <is>
          <t>Окупаемость покупки у реальных внедрений, лет</t>
        </is>
      </c>
      <c r="C48" s="10" t="inlineStr">
        <is>
          <t>2 - 3</t>
        </is>
      </c>
      <c r="D48" s="9" t="inlineStr">
        <is>
          <t>лет</t>
        </is>
      </c>
      <c r="E48" s="34" t="inlineStr">
        <is>
          <t>C</t>
        </is>
      </c>
      <c r="F48" s="9" t="inlineStr">
        <is>
          <t>Окупаемость покупки, страницы открыты 16.10.2026. ВкусВилл, AGV Автомакона: "должен окупиться за два-три года", прогноз интегратора (habr.com/ru/companies/automacon/articles/881120, 11.02.2025). Яндекс Лавка: окупаемость "около трех лет" (journal.reindustry-expo.ru/yandeks-lavka-i-yandeks-robotiks, 25.06.2026). RangePlus, Geek+, Великобритания: "full return on investment in less than two years" (geekplus.com/case-studies, 20.06.2025). Только у покупки: у аренды и оплаты за действие один кейс, Восток-Сервис, 6 месяцев, диапазона из него нет</t>
        </is>
      </c>
      <c r="G48" s="9" t="inlineStr">
        <is>
          <t>2026-10</t>
        </is>
      </c>
      <c r="H48" s="9" t="inlineStr">
        <is>
          <t>economics.plausibility.payback_years</t>
        </is>
      </c>
    </row>
    <row r="49">
      <c r="A49" s="9" t="inlineStr">
        <is>
          <t>Деньги, налоги, цены</t>
        </is>
      </c>
      <c r="B49" s="10" t="inlineStr">
        <is>
          <t>Сокращение людей на отборе у реальных внедрений</t>
        </is>
      </c>
      <c r="C49" s="10" t="inlineStr">
        <is>
          <t>0.55 - 0.8</t>
        </is>
      </c>
      <c r="D49" s="9" t="inlineStr">
        <is>
          <t>доля</t>
        </is>
      </c>
      <c r="E49" s="34" t="inlineStr">
        <is>
          <t>C</t>
        </is>
      </c>
      <c r="F49" s="9" t="inlineStr">
        <is>
          <t>Внедрения отбора, страницы открыты 16.10.2026. Восток-Сервис: "-2,2x к численности" на странице Ronavi, у Retail.ru втрое (28.06.2024), берем скромное 0,55, как в docs/staff.md. ACCA, Geek+, Япония: "Workforce reduced from 20 to 4 staff" (PDF Geek+, 3PL-ACCA-Case-study), 0,8. Fleet Feet, Locus, США: было 20-25 отборщиков, стало пять (locusrobotics.com/resources/case-study/fleet-feet-and-korber-supply-chain-software), 0,75-0,8. Вне диапазона Яндекс Лавка (людей не убавилось, вырос объем) и инвентаризация ВкусВилла (другая операция)</t>
        </is>
      </c>
      <c r="G49" s="9" t="inlineStr">
        <is>
          <t>2026-10</t>
        </is>
      </c>
      <c r="H49" s="9" t="inlineStr">
        <is>
          <t>economics.plausibility.staff_cut_share</t>
        </is>
      </c>
    </row>
    <row r="50">
      <c r="A50" s="9" t="inlineStr">
        <is>
          <t>Деньги, налоги, цены</t>
        </is>
      </c>
      <c r="B50" s="10" t="inlineStr">
        <is>
          <t>Ставка НДС</t>
        </is>
      </c>
      <c r="C50" s="22" t="n">
        <v>0.22</v>
      </c>
      <c r="D50" s="9" t="inlineStr">
        <is>
          <t>доля</t>
        </is>
      </c>
      <c r="E50" s="34" t="inlineStr">
        <is>
          <t>A</t>
        </is>
      </c>
      <c r="F50" s="9" t="inlineStr">
        <is>
          <t>НДС 22% с 01.01.2026, Федеральный закон от 28.11.2025 № 425-ФЗ (expert.ru/news/vladimir-putin-podpisal-zakon-o-povyshenii-nds-do-22/)</t>
        </is>
      </c>
      <c r="G50" s="9" t="inlineStr">
        <is>
          <t>2026-10</t>
        </is>
      </c>
      <c r="H50" s="9" t="inlineStr">
        <is>
          <t>economics.vat.rate</t>
        </is>
      </c>
    </row>
    <row r="51">
      <c r="A51" s="9" t="inlineStr">
        <is>
          <t>Деньги, налоги, цены</t>
        </is>
      </c>
      <c r="B51" s="10" t="inlineStr">
        <is>
          <t>Компания возвращает НДС?</t>
        </is>
      </c>
      <c r="C51" s="22" t="n">
        <v>0</v>
      </c>
      <c r="D51" s="9" t="inlineStr">
        <is>
          <t>1 да, 0 нет</t>
        </is>
      </c>
      <c r="E51" s="34" t="inlineStr">
        <is>
          <t>F</t>
        </is>
      </c>
      <c r="F51" s="9" t="inlineStr">
        <is>
          <t>Выбор клиента: 1 компания не возвращает НДС (упрощенка без НДС), считаем цены с НДС; 0 возвращает, цены без НДС. По умолчанию 0: склад на общей системе налогов возвращает входной НДС, и с 2026 года на НДС переходят компании на УСН с выручкой больше 20 млн (425-ФЗ)</t>
        </is>
      </c>
      <c r="G51" s="9" t="inlineStr">
        <is>
          <t>2026-10</t>
        </is>
      </c>
      <c r="H51" s="9" t="inlineStr">
        <is>
          <t>economics.vat.with_vat</t>
        </is>
      </c>
    </row>
    <row r="52">
      <c r="A52" s="9" t="inlineStr">
        <is>
          <t>Деньги, налоги, цены</t>
        </is>
      </c>
      <c r="B52" s="10" t="inlineStr">
        <is>
          <t>Рост зарплат в год</t>
        </is>
      </c>
      <c r="C52" s="22" t="n">
        <v>0.07000000000000001</v>
      </c>
      <c r="D52" s="9" t="inlineStr">
        <is>
          <t>доля в год</t>
        </is>
      </c>
      <c r="E52" s="34" t="inlineStr">
        <is>
          <t>C</t>
        </is>
      </c>
      <c r="F52" s="9" t="inlineStr">
        <is>
          <t>Сценарные условия Минэкономразвития на 2027-2029, 12.05.2026, garant.ru/products/ipo/prime/doc/414115625/: +6,5% (2027), +6,9% (2028), +7,1% (2029), берем около 7%</t>
        </is>
      </c>
      <c r="G52" s="9" t="inlineStr">
        <is>
          <t>2026-09</t>
        </is>
      </c>
      <c r="H52" s="9" t="inlineStr">
        <is>
          <t>economics.wage_growth</t>
        </is>
      </c>
    </row>
    <row r="53">
      <c r="A53" s="9" t="inlineStr">
        <is>
          <t>Объект и задачи</t>
        </is>
      </c>
      <c r="B53" s="10" t="inlineStr">
        <is>
          <t>Площадь зоны работы роботов</t>
        </is>
      </c>
      <c r="C53" s="22" t="n">
        <v>10000</v>
      </c>
      <c r="D53" s="9" t="inlineStr">
        <is>
          <t>м²</t>
        </is>
      </c>
      <c r="E53" s="34" t="inlineStr">
        <is>
          <t>D</t>
        </is>
      </c>
      <c r="F53" s="9" t="inlineStr">
        <is>
          <t>Отраслевой датасет по складам, лист "Склад"</t>
        </is>
      </c>
      <c r="G53" s="9" t="inlineStr">
        <is>
          <t>2026-09</t>
        </is>
      </c>
      <c r="H53" s="9" t="inlineStr">
        <is>
          <t>facilities.warehouse.active_area_m2</t>
        </is>
      </c>
    </row>
    <row r="54">
      <c r="A54" s="9" t="inlineStr">
        <is>
          <t>Объект и задачи</t>
        </is>
      </c>
      <c r="B54" s="10" t="inlineStr">
        <is>
          <t>Ширина проезда между рядами</t>
        </is>
      </c>
      <c r="C54" s="22" t="n">
        <v>2800</v>
      </c>
      <c r="D54" s="9" t="inlineStr">
        <is>
          <t>мм</t>
        </is>
      </c>
      <c r="E54" s="34" t="inlineStr">
        <is>
          <t>D</t>
        </is>
      </c>
      <c r="F54" s="9" t="inlineStr">
        <is>
          <t>Отраслевой датасет по складам, лист "Склад": ширина рабочих проходов между стеллажами 2,8 м (1,5-4,5)</t>
        </is>
      </c>
      <c r="G54" s="9" t="inlineStr">
        <is>
          <t>2026-09</t>
        </is>
      </c>
      <c r="H54" s="9" t="inlineStr">
        <is>
          <t>facilities.warehouse.constraints.aisle_width_mm</t>
        </is>
      </c>
    </row>
    <row r="55">
      <c r="A55" s="9" t="inlineStr">
        <is>
          <t>Объект и задачи</t>
        </is>
      </c>
      <c r="B55" s="10" t="inlineStr">
        <is>
          <t>Высота потолка</t>
        </is>
      </c>
      <c r="C55" s="22" t="n">
        <v>10</v>
      </c>
      <c r="D55" s="9" t="inlineStr">
        <is>
          <t>м</t>
        </is>
      </c>
      <c r="E55" s="34" t="inlineStr">
        <is>
          <t>D</t>
        </is>
      </c>
      <c r="F55" s="9" t="inlineStr">
        <is>
          <t>Отраслевой датасет по складам, лист "Склад": высота потолков в зоне хранения 10 м (5-16)</t>
        </is>
      </c>
      <c r="G55" s="9" t="inlineStr">
        <is>
          <t>2026-09</t>
        </is>
      </c>
      <c r="H55" s="9" t="inlineStr">
        <is>
          <t>facilities.warehouse.constraints.ceiling_m</t>
        </is>
      </c>
    </row>
    <row r="56">
      <c r="A56" s="9" t="inlineStr">
        <is>
          <t>Объект и задачи</t>
        </is>
      </c>
      <c r="B56" s="10" t="inlineStr">
        <is>
          <t>Ровность пола</t>
        </is>
      </c>
      <c r="C56" s="22" t="n">
        <v>3</v>
      </c>
      <c r="D56" s="9" t="inlineStr">
        <is>
          <t>мм</t>
        </is>
      </c>
      <c r="E56" s="34" t="inlineStr">
        <is>
          <t>D</t>
        </is>
      </c>
      <c r="F56" s="9" t="inlineStr">
        <is>
          <t>Отраслевой датасет по складам, лист "Склад": отклонение 3 мм на 2 м (1-8), DIN 15185 или FM2</t>
        </is>
      </c>
      <c r="G56" s="9" t="inlineStr">
        <is>
          <t>2026-09</t>
        </is>
      </c>
      <c r="H56" s="9" t="inlineStr">
        <is>
          <t>facilities.warehouse.constraints.floor_flatness_mm</t>
        </is>
      </c>
    </row>
    <row r="57">
      <c r="A57" s="9" t="inlineStr">
        <is>
          <t>Объект и задачи</t>
        </is>
      </c>
      <c r="B57" s="10" t="inlineStr">
        <is>
          <t>Ширина главного проезда</t>
        </is>
      </c>
      <c r="C57" s="22" t="n">
        <v>3500</v>
      </c>
      <c r="D57" s="9" t="inlineStr">
        <is>
          <t>мм</t>
        </is>
      </c>
      <c r="E57" s="34" t="inlineStr">
        <is>
          <t>D</t>
        </is>
      </c>
      <c r="F57" s="9" t="inlineStr">
        <is>
          <t>Отраслевой датасет по складам, лист "Склад": ширина главных проездов 3,5 м (2,5-6)</t>
        </is>
      </c>
      <c r="G57" s="9" t="inlineStr">
        <is>
          <t>2026-09</t>
        </is>
      </c>
      <c r="H57" s="9" t="inlineStr">
        <is>
          <t>facilities.warehouse.constraints.main_aisle_width_mm</t>
        </is>
      </c>
    </row>
    <row r="58">
      <c r="A58" s="9" t="inlineStr">
        <is>
          <t>Объект и задачи</t>
        </is>
      </c>
      <c r="B58" s="10" t="inlineStr">
        <is>
          <t>Доля отборов ходового товара</t>
        </is>
      </c>
      <c r="C58" s="22" t="n">
        <v>0.75</v>
      </c>
      <c r="D58" s="9" t="inlineStr">
        <is>
          <t>доля</t>
        </is>
      </c>
      <c r="E58" s="34" t="inlineStr">
        <is>
          <t>C</t>
        </is>
      </c>
      <c r="F58" s="9" t="inlineStr">
        <is>
          <t>Bartholdi, Hackman. Warehouse &amp; Distribution Science, версия 0.98.1 от 17.08.2019, рис. 14.1, с. 241: 5000 самых ходовых из 25 000 SKU дают больше 75% отборов; warehouse-science.com. Популярное правило 80/20 встречается только во вторичных источниках</t>
        </is>
      </c>
      <c r="G58" s="9" t="inlineStr">
        <is>
          <t>2026-09</t>
        </is>
      </c>
      <c r="H58" s="9" t="inlineStr">
        <is>
          <t>facilities.warehouse.fast_picks_share</t>
        </is>
      </c>
    </row>
    <row r="59">
      <c r="A59" s="9" t="inlineStr">
        <is>
          <t>Объект и задачи</t>
        </is>
      </c>
      <c r="B59" s="10" t="inlineStr">
        <is>
          <t>Доля ходового товара</t>
        </is>
      </c>
      <c r="C59" s="22" t="n">
        <v>0.2</v>
      </c>
      <c r="D59" s="9" t="inlineStr">
        <is>
          <t>доля</t>
        </is>
      </c>
      <c r="E59" s="34" t="inlineStr">
        <is>
          <t>D</t>
        </is>
      </c>
      <c r="F59" s="9" t="inlineStr">
        <is>
          <t>Отраслевой датасет по складам, лист "Склад": доля SKU с быстрым оборотом (A-класс) 20% (10-40%). Считаем, что у каждой позиции свое место у стеллажа</t>
        </is>
      </c>
      <c r="G59" s="9" t="inlineStr">
        <is>
          <t>2026-09</t>
        </is>
      </c>
      <c r="H59" s="9" t="inlineStr">
        <is>
          <t>facilities.warehouse.fast_share</t>
        </is>
      </c>
    </row>
    <row r="60">
      <c r="A60" s="9" t="inlineStr">
        <is>
          <t>Объект и задачи</t>
        </is>
      </c>
      <c r="B60" s="10" t="inlineStr">
        <is>
          <t>С какого парка нужна своя связь</t>
        </is>
      </c>
      <c r="C60" s="22" t="n">
        <v>3</v>
      </c>
      <c r="D60" s="9" t="inlineStr">
        <is>
          <t>роботов</t>
        </is>
      </c>
      <c r="E60" s="34" t="inlineStr">
        <is>
          <t>F</t>
        </is>
      </c>
      <c r="F60" s="9" t="inlineStr">
        <is>
          <t>Нет источника: на 1-2 робота хватает Wi-Fi, который на складе уже есть, отдельную связь не закладываем</t>
        </is>
      </c>
      <c r="G60" s="9" t="inlineStr">
        <is>
          <t>2026-10</t>
        </is>
      </c>
      <c r="H60" s="9" t="inlineStr">
        <is>
          <t>facilities.warehouse.implementation.communications_min_fleet</t>
        </is>
      </c>
    </row>
    <row r="61">
      <c r="A61" s="9" t="inlineStr">
        <is>
          <t>Объект и задачи</t>
        </is>
      </c>
      <c r="B61" s="10" t="inlineStr">
        <is>
          <t>Связь и сеть в год</t>
        </is>
      </c>
      <c r="C61" s="22" t="n">
        <v>300000</v>
      </c>
      <c r="D61" s="9" t="inlineStr">
        <is>
          <t>₽ в год</t>
        </is>
      </c>
      <c r="E61" s="34" t="inlineStr">
        <is>
          <t>F</t>
        </is>
      </c>
      <c r="F61" s="9" t="inlineStr">
        <is>
          <t>Нет источника: связь роботов (точки Wi-Fi, сервер) на проект около 10 роботов. В расчете от числа роботов: на робота 300 000 / 10 = 30 000 в год, при 1-2 роботах не берем (communications_min_fleet)</t>
        </is>
      </c>
      <c r="G61" s="9" t="n"/>
      <c r="H61" s="9" t="inlineStr">
        <is>
          <t>facilities.warehouse.implementation.communications_rub_year</t>
        </is>
      </c>
    </row>
    <row r="62">
      <c r="A62" s="9" t="inlineStr">
        <is>
          <t>Объект и задачи</t>
        </is>
      </c>
      <c r="B62" s="10" t="inlineStr">
        <is>
          <t>Подбор оператора</t>
        </is>
      </c>
      <c r="C62" s="22" t="n">
        <v>50000</v>
      </c>
      <c r="D62" s="9" t="inlineStr">
        <is>
          <t>₽ на человека</t>
        </is>
      </c>
      <c r="E62" s="34" t="inlineStr">
        <is>
          <t>F</t>
        </is>
      </c>
      <c r="F62" s="9" t="inlineStr">
        <is>
          <t>Нет источника: подбор оператора роботов с рынка, если замененных людей не хватает. Вакансии такие есть (RWB, X5 Tech), стоимости подбора нет</t>
        </is>
      </c>
      <c r="G62" s="9" t="n"/>
      <c r="H62" s="9" t="inlineStr">
        <is>
          <t>facilities.warehouse.implementation.hiring_rub_per_person</t>
        </is>
      </c>
    </row>
    <row r="63">
      <c r="A63" s="9" t="inlineStr">
        <is>
          <t>Объект и задачи</t>
        </is>
      </c>
      <c r="B63" s="10" t="inlineStr">
        <is>
          <t>Инфраструктура объекта</t>
        </is>
      </c>
      <c r="C63" s="22" t="n">
        <v>3000000</v>
      </c>
      <c r="D63" s="9" t="inlineStr">
        <is>
          <t>₽</t>
        </is>
      </c>
      <c r="E63" s="34" t="inlineStr">
        <is>
          <t>F</t>
        </is>
      </c>
      <c r="F63" s="9" t="inlineStr">
        <is>
          <t>Нет источника</t>
        </is>
      </c>
      <c r="G63" s="9" t="n"/>
      <c r="H63" s="9" t="inlineStr">
        <is>
          <t>facilities.warehouse.implementation.infrastructure_rub</t>
        </is>
      </c>
    </row>
    <row r="64">
      <c r="A64" s="9" t="inlineStr">
        <is>
          <t>Объект и задачи</t>
        </is>
      </c>
      <c r="B64" s="10" t="inlineStr">
        <is>
          <t>Интеграция с WMS</t>
        </is>
      </c>
      <c r="C64" s="22" t="n">
        <v>5000000</v>
      </c>
      <c r="D64" s="9" t="inlineStr">
        <is>
          <t>₽</t>
        </is>
      </c>
      <c r="E64" s="34" t="inlineStr">
        <is>
          <t>F</t>
        </is>
      </c>
      <c r="F64" s="9" t="inlineStr">
        <is>
          <t>Нет источника, нужно КП интегратора</t>
        </is>
      </c>
      <c r="G64" s="9" t="n"/>
      <c r="H64" s="9" t="inlineStr">
        <is>
          <t>facilities.warehouse.implementation.integration_rub</t>
        </is>
      </c>
    </row>
    <row r="65">
      <c r="A65" s="9" t="inlineStr">
        <is>
          <t>Объект и задачи</t>
        </is>
      </c>
      <c r="B65" s="10" t="inlineStr">
        <is>
          <t>Переобучение одного человека</t>
        </is>
      </c>
      <c r="C65" s="22" t="n">
        <v>10000</v>
      </c>
      <c r="D65" s="9" t="inlineStr">
        <is>
          <t>₽ на человека</t>
        </is>
      </c>
      <c r="E65" s="34" t="inlineStr">
        <is>
          <t>C</t>
        </is>
      </c>
      <c r="F65" s="9" t="inlineStr">
        <is>
          <t>Курсы ДПО "оператор механизированных и автоматизированных складов": 5 000 руб (Grand School, 80 ч) и 12 491 руб (ЕВИДПО, 72 ч). Срок сходится с Ronavi: обучение оператора 1-2 недели</t>
        </is>
      </c>
      <c r="G65" s="9" t="inlineStr">
        <is>
          <t>2026-09</t>
        </is>
      </c>
      <c r="H65" s="9" t="inlineStr">
        <is>
          <t>facilities.warehouse.implementation.retraining_rub_per_person</t>
        </is>
      </c>
    </row>
    <row r="66">
      <c r="A66" s="9" t="inlineStr">
        <is>
          <t>Объект и задачи</t>
        </is>
      </c>
      <c r="B66" s="10" t="inlineStr">
        <is>
          <t>Постоянные вложения пилота, доля</t>
        </is>
      </c>
      <c r="C66" s="22" t="n">
        <v>0.2</v>
      </c>
      <c r="D66" s="9" t="inlineStr">
        <is>
          <t>доля</t>
        </is>
      </c>
      <c r="E66" s="34" t="inlineStr">
        <is>
          <t>E</t>
        </is>
      </c>
      <c r="F66" s="9" t="inlineStr">
        <is>
          <t>Пилот на 1-2 робота: у Умного Сервиса манипулятор и паллетный FMR вместе с внедрением стоили 4-5 млн (umserv.ru, кейс 13.08.2025), значит постоянная часть не больше 1-2 млн; 20% от 9,5 млн это 1,9 млн</t>
        </is>
      </c>
      <c r="G66" s="9" t="inlineStr">
        <is>
          <t>2026-10</t>
        </is>
      </c>
      <c r="H66" s="9" t="inlineStr">
        <is>
          <t>facilities.warehouse.implementation.scale_min_share</t>
        </is>
      </c>
    </row>
    <row r="67">
      <c r="A67" s="9" t="inlineStr">
        <is>
          <t>Объект и задачи</t>
        </is>
      </c>
      <c r="B67" s="10" t="inlineStr">
        <is>
          <t>Проект, на который даны постоянные вложения</t>
        </is>
      </c>
      <c r="C67" s="22" t="n">
        <v>10</v>
      </c>
      <c r="D67" s="9" t="inlineStr">
        <is>
          <t>роботов</t>
        </is>
      </c>
      <c r="E67" s="34" t="inlineStr">
        <is>
          <t>F</t>
        </is>
      </c>
      <c r="F67" s="9" t="inlineStr">
        <is>
          <t>Интеграцию 5 млн, инфраструктуру 3 млн и ПО 1,5 млн брали на демо-проект около 10 роботов. Нет источника</t>
        </is>
      </c>
      <c r="G67" s="9" t="inlineStr">
        <is>
          <t>2026-10</t>
        </is>
      </c>
      <c r="H67" s="9" t="inlineStr">
        <is>
          <t>facilities.warehouse.implementation.scale_ref_fleet</t>
        </is>
      </c>
    </row>
    <row r="68">
      <c r="A68" s="9" t="inlineStr">
        <is>
          <t>Объект и задачи</t>
        </is>
      </c>
      <c r="B68" s="10" t="inlineStr">
        <is>
          <t>Минимум операторов в смене</t>
        </is>
      </c>
      <c r="C68" s="22" t="n">
        <v>0</v>
      </c>
      <c r="D68" s="9" t="inlineStr">
        <is>
          <t>человек в смену</t>
        </is>
      </c>
      <c r="E68" s="34" t="inlineStr">
        <is>
          <t>F</t>
        </is>
      </c>
      <c r="F68" s="9" t="inlineStr">
        <is>
          <t>Выбор пользователя: сколько дежурных по роботам держать в смене всегда, сверх присмотра по нагрузке. По умолчанию 0: присмотр считаем долей поста от минут внимания на робота, это часть работы начальника смены или оператора соседней зоны. Норматива роботов на оператора для складских AMR никто не публикует; Vecna Robotics на первых внедрениях видела 1 человека на 4-10 роботов и называет это неудачей (Mobile Robot Guide, перепечатка automatedwarehouseonline.com)</t>
        </is>
      </c>
      <c r="G68" s="9" t="inlineStr">
        <is>
          <t>2026-10</t>
        </is>
      </c>
      <c r="H68" s="9" t="inlineStr">
        <is>
          <t>facilities.warehouse.min_operator_posts</t>
        </is>
      </c>
    </row>
    <row r="69">
      <c r="A69" s="9" t="inlineStr">
        <is>
          <t>Объект и задачи</t>
        </is>
      </c>
      <c r="B69" s="10" t="inlineStr">
        <is>
          <t>Доля перевозок для роботов</t>
        </is>
      </c>
      <c r="C69" s="22" t="n">
        <v>0.95</v>
      </c>
      <c r="D69" s="9" t="inlineStr">
        <is>
          <t>доля</t>
        </is>
      </c>
      <c r="E69" s="34" t="inlineStr">
        <is>
          <t>D</t>
        </is>
      </c>
      <c r="F69" s="9" t="inlineStr">
        <is>
          <t>Отраслевой датасет по складам, лист "Склад": негабарит 5% остается ручным</t>
        </is>
      </c>
      <c r="G69" s="9" t="inlineStr">
        <is>
          <t>2026-09</t>
        </is>
      </c>
      <c r="H69" s="9" t="inlineStr">
        <is>
          <t>facilities.warehouse.operations.pallet_transport.automatable_share</t>
        </is>
      </c>
    </row>
    <row r="70">
      <c r="A70" s="9" t="inlineStr">
        <is>
          <t>Объект и задачи</t>
        </is>
      </c>
      <c r="B70" s="10" t="inlineStr">
        <is>
          <t>Доля работы людей, которую забирает робот, перевозка паллет между зонами</t>
        </is>
      </c>
      <c r="C70" s="22" t="n">
        <v>0.74</v>
      </c>
      <c r="D70" s="9" t="inlineStr">
        <is>
          <t>доля</t>
        </is>
      </c>
      <c r="E70" s="34" t="inlineStr">
        <is>
          <t>E</t>
        </is>
      </c>
      <c r="F70" s="9" t="inlineStr">
        <is>
          <t>Оценка команды: робот повторяет перевозку по полу, у человека она занимает примерно столько же, сколько цикл робота: 2 * 65,7 м / 1 м/с + 20 с = 151 с (маршрут типового плана, скорость и погрузка Ronavi, C), из 195 с на паллету при выработке 18,5 в час (3 600 / 18,5). Доля 151 / 195 = 0,78, без 5% негабарита 0,95 * 0,78 = 0,74. Сверка: у Умного Сервиса паллетный робот заменяет 0,6 человека в смену при работе 24/7 (umserv.ru, C), X5 на 67 автономных погрузчиках ждет сокращения штата РЦ до 20% (retail.ru, 04.06.2026, A): доля работы, а не 95%</t>
        </is>
      </c>
      <c r="G70" s="9" t="inlineStr">
        <is>
          <t>2026-10</t>
        </is>
      </c>
      <c r="H70" s="9" t="inlineStr">
        <is>
          <t>facilities.warehouse.operations.pallet_transport.labor_share</t>
        </is>
      </c>
    </row>
    <row r="71">
      <c r="A71" s="9" t="inlineStr">
        <is>
          <t>Объект и задачи</t>
        </is>
      </c>
      <c r="B71" s="10" t="inlineStr">
        <is>
          <t>Масса паллеты с грузом</t>
        </is>
      </c>
      <c r="C71" s="22" t="n">
        <v>800</v>
      </c>
      <c r="D71" s="9" t="inlineStr">
        <is>
          <t>кг</t>
        </is>
      </c>
      <c r="E71" s="34" t="inlineStr">
        <is>
          <t>D</t>
        </is>
      </c>
      <c r="F71" s="9" t="inlineStr">
        <is>
          <t>Отраслевой датасет по складам, лист "Склад": средняя масса грузовой единицы 800 кг (200-1500)</t>
        </is>
      </c>
      <c r="G71" s="9" t="inlineStr">
        <is>
          <t>2026-09</t>
        </is>
      </c>
      <c r="H71" s="9" t="inlineStr">
        <is>
          <t>facilities.warehouse.operations.pallet_transport.load_kg</t>
        </is>
      </c>
    </row>
    <row r="72">
      <c r="A72" s="9" t="inlineStr">
        <is>
          <t>Объект и задачи</t>
        </is>
      </c>
      <c r="B72" s="10" t="inlineStr">
        <is>
          <t>Операций за один рейс, перевозка паллет между зонами</t>
        </is>
      </c>
      <c r="C72" s="22" t="n">
        <v>1</v>
      </c>
      <c r="D72" s="9" t="inlineStr">
        <is>
          <t>операций</t>
        </is>
      </c>
      <c r="E72" s="34" t="inlineStr">
        <is>
          <t>S</t>
        </is>
      </c>
      <c r="F72" s="9" t="inlineStr">
        <is>
          <t>Одна паллета за рейс</t>
        </is>
      </c>
      <c r="G72" s="9" t="inlineStr">
        <is>
          <t>2026-09</t>
        </is>
      </c>
      <c r="H72" s="9" t="inlineStr">
        <is>
          <t>facilities.warehouse.operations.pallet_transport.ops_per_trip</t>
        </is>
      </c>
    </row>
    <row r="73">
      <c r="A73" s="9" t="inlineStr">
        <is>
          <t>Объект и задачи</t>
        </is>
      </c>
      <c r="B73" s="10" t="inlineStr">
        <is>
          <t>Перемещений паллет в сутки</t>
        </is>
      </c>
      <c r="C73" s="22" t="n">
        <v>2000</v>
      </c>
      <c r="D73" s="9" t="inlineStr">
        <is>
          <t>в сутки</t>
        </is>
      </c>
      <c r="E73" s="34" t="inlineStr">
        <is>
          <t>D</t>
        </is>
      </c>
      <c r="F73" s="9" t="inlineStr">
        <is>
          <t>Отраслевой датасет по складам, лист "Склад": приемка 1000 + отгрузка 1000</t>
        </is>
      </c>
      <c r="G73" s="9" t="inlineStr">
        <is>
          <t>2026-09</t>
        </is>
      </c>
      <c r="H73" s="9" t="inlineStr">
        <is>
          <t>facilities.warehouse.operations.pallet_transport.volume_per_day</t>
        </is>
      </c>
    </row>
    <row r="74">
      <c r="A74" s="9" t="inlineStr">
        <is>
          <t>Объект и задачи</t>
        </is>
      </c>
      <c r="B74" s="10" t="inlineStr">
        <is>
          <t>Надбавка оператору роботов</t>
        </is>
      </c>
      <c r="C74" s="22" t="n">
        <v>0</v>
      </c>
      <c r="D74" s="9" t="inlineStr">
        <is>
          <t>доля</t>
        </is>
      </c>
      <c r="E74" s="34" t="inlineStr">
        <is>
          <t>F</t>
        </is>
      </c>
      <c r="F74" s="9" t="inlineStr">
        <is>
          <t>Оператор робозоны это переученный сотрудник той же роли. Яндекс Роботикс, раздел "Персонал": "Сотрудники на точках отбора — операторы роботов". Надбавку за роботов никто не публикует, поэтому пока ноль. Для сравнения: сервисный инженер по роботам в Москве стоит 138-207 тыс. gross (4 вакансии hh.ru, сентябрь 2026), но это другая профессия</t>
        </is>
      </c>
      <c r="G74" s="9" t="n"/>
      <c r="H74" s="9" t="inlineStr">
        <is>
          <t>facilities.warehouse.operator_salary_premium</t>
        </is>
      </c>
    </row>
    <row r="75">
      <c r="A75" s="9" t="inlineStr">
        <is>
          <t>Объект и задачи</t>
        </is>
      </c>
      <c r="B75" s="10" t="inlineStr">
        <is>
          <t>Пиковый коэффициент нагрузки</t>
        </is>
      </c>
      <c r="C75" s="22" t="n">
        <v>1.5</v>
      </c>
      <c r="D75" s="9" t="inlineStr">
        <is>
          <t>раза</t>
        </is>
      </c>
      <c r="E75" s="34" t="inlineStr">
        <is>
          <t>D</t>
        </is>
      </c>
      <c r="F75" s="9" t="inlineStr">
        <is>
          <t>Отраслевой датасет по складам, лист "Склад"</t>
        </is>
      </c>
      <c r="G75" s="9" t="inlineStr">
        <is>
          <t>2026-09</t>
        </is>
      </c>
      <c r="H75" s="9" t="inlineStr">
        <is>
          <t>facilities.warehouse.peak_factor</t>
        </is>
      </c>
    </row>
    <row r="76">
      <c r="A76" s="9" t="inlineStr">
        <is>
          <t>Объект и задачи</t>
        </is>
      </c>
      <c r="B76" s="10" t="inlineStr">
        <is>
          <t>Часть склада под отбор роботами</t>
        </is>
      </c>
      <c r="C76" s="22" t="n">
        <v>0.1</v>
      </c>
      <c r="D76" s="9" t="inlineStr">
        <is>
          <t>доля</t>
        </is>
      </c>
      <c r="E76" s="34" t="inlineStr">
        <is>
          <t>D</t>
        </is>
      </c>
      <c r="F76" s="9" t="inlineStr">
        <is>
          <t>Часть зоны работы роботов под робозону штучного отбора. Посчитано: парк по формуле 20 Ronavi M * 50 м2 на робота (engine.geometry.picking_m2_per_robot) = 1 000 м2 из 10 000 м2. Правит человек на первом шаге</t>
        </is>
      </c>
      <c r="G76" s="9" t="inlineStr">
        <is>
          <t>2026-10</t>
        </is>
      </c>
      <c r="H76" s="9" t="inlineStr">
        <is>
          <t>facilities.warehouse.picking_zone_share</t>
        </is>
      </c>
    </row>
    <row r="77">
      <c r="A77" s="9" t="inlineStr">
        <is>
          <t>Объект и задачи</t>
        </is>
      </c>
      <c r="B77" s="10" t="inlineStr">
        <is>
          <t>Рабочих дней в году</t>
        </is>
      </c>
      <c r="C77" s="22" t="n">
        <v>365</v>
      </c>
      <c r="D77" s="9" t="inlineStr">
        <is>
          <t>дней</t>
        </is>
      </c>
      <c r="E77" s="34" t="inlineStr">
        <is>
          <t>B</t>
        </is>
      </c>
      <c r="F77" s="9" t="inlineStr">
        <is>
          <t>Режим склада без выходных, сверка 19.10.2026. В датасете, лист "Склад", 2 смены по 11 ч 365 дней, и так работают склады обоих типов: РЦ Магнита в Подольске 2/2 по 11 ч с ночными часами (hh.ru/vacancy/135864165, 15.10.2026), Ленты в Валищево 2/2 по 12 ч (hh.ru/vacancy/135995269), FM Logistic Белый Раст 2/2 день и ночь по 12 ч (hh.ru/vacancy/135967197), Мегамаркет в Москве 2/2 ночь 20:00-08:00 (hh.ru/vacancy/135946119), даркстор Лавки ночь 21:00-9:00 (hh.ru/vacancy/135852510, 28.09.2026). Пятидневки 2 смены по 8 ч у РЦ и фулфилмента не нашли. Берем 22 часа датасета, а не 24 у вакансий: так экономия не завышена. Свой режим человек ставит на шаге параметров (docs/decisions.md, "Типовой режим склада")</t>
        </is>
      </c>
      <c r="G77" s="9" t="inlineStr">
        <is>
          <t>2026-10</t>
        </is>
      </c>
      <c r="H77" s="9" t="inlineStr">
        <is>
          <t>facilities.warehouse.schedule.days_per_year</t>
        </is>
      </c>
    </row>
    <row r="78">
      <c r="A78" s="9" t="inlineStr">
        <is>
          <t>Объект и задачи</t>
        </is>
      </c>
      <c r="B78" s="10" t="inlineStr">
        <is>
          <t>Продолжительность смены</t>
        </is>
      </c>
      <c r="C78" s="22" t="n">
        <v>11</v>
      </c>
      <c r="D78" s="9" t="inlineStr">
        <is>
          <t>ч</t>
        </is>
      </c>
      <c r="E78" s="34" t="inlineStr">
        <is>
          <t>B</t>
        </is>
      </c>
      <c r="F78" s="9" t="inlineStr">
        <is>
          <t>Режим склада без выходных, сверка 19.10.2026. В датасете, лист "Склад", 2 смены по 11 ч 365 дней, и так работают склады обоих типов: РЦ Магнита в Подольске 2/2 по 11 ч с ночными часами (hh.ru/vacancy/135864165, 15.10.2026), Ленты в Валищево 2/2 по 12 ч (hh.ru/vacancy/135995269), FM Logistic Белый Раст 2/2 день и ночь по 12 ч (hh.ru/vacancy/135967197), Мегамаркет в Москве 2/2 ночь 20:00-08:00 (hh.ru/vacancy/135946119), даркстор Лавки ночь 21:00-9:00 (hh.ru/vacancy/135852510, 28.09.2026). Пятидневки 2 смены по 8 ч у РЦ и фулфилмента не нашли. Берем 22 часа датасета, а не 24 у вакансий: так экономия не завышена. Свой режим человек ставит на шаге параметров (docs/decisions.md, "Типовой режим склада")</t>
        </is>
      </c>
      <c r="G78" s="9" t="inlineStr">
        <is>
          <t>2026-10</t>
        </is>
      </c>
      <c r="H78" s="9" t="inlineStr">
        <is>
          <t>facilities.warehouse.schedule.shift_hours</t>
        </is>
      </c>
    </row>
    <row r="79">
      <c r="A79" s="9" t="inlineStr">
        <is>
          <t>Объект и задачи</t>
        </is>
      </c>
      <c r="B79" s="10" t="inlineStr">
        <is>
          <t>Смен в сутки</t>
        </is>
      </c>
      <c r="C79" s="22" t="n">
        <v>2</v>
      </c>
      <c r="D79" s="9" t="inlineStr">
        <is>
          <t>смен</t>
        </is>
      </c>
      <c r="E79" s="34" t="inlineStr">
        <is>
          <t>B</t>
        </is>
      </c>
      <c r="F79" s="9" t="inlineStr">
        <is>
          <t>Отраслевой датасет по складам, лист "Склад"; сходится с вакансиями РЦ и фулфилмента 2/2 день и ночь (docs/decisions.md, "Типовой режим склада")</t>
        </is>
      </c>
      <c r="G79" s="9" t="inlineStr">
        <is>
          <t>2026-10</t>
        </is>
      </c>
      <c r="H79" s="9" t="inlineStr">
        <is>
          <t>facilities.warehouse.schedule.shifts</t>
        </is>
      </c>
    </row>
    <row r="80">
      <c r="A80" s="9" t="inlineStr">
        <is>
          <t>Объект и задачи</t>
        </is>
      </c>
      <c r="B80" s="10" t="inlineStr">
        <is>
          <t>Активных SKU</t>
        </is>
      </c>
      <c r="C80" s="22" t="n">
        <v>2000</v>
      </c>
      <c r="D80" s="9" t="inlineStr">
        <is>
          <t>SKU</t>
        </is>
      </c>
      <c r="E80" s="34" t="inlineStr">
        <is>
          <t>D</t>
        </is>
      </c>
      <c r="F80" s="9" t="inlineStr">
        <is>
          <t>Отраслевой датасет по складам, лист "Склад": активных SKU 2000 (1000-10000). В расчет не входит, описание склада для отчета</t>
        </is>
      </c>
      <c r="G80" s="9" t="inlineStr">
        <is>
          <t>2026-09</t>
        </is>
      </c>
      <c r="H80" s="9" t="inlineStr">
        <is>
          <t>facilities.warehouse.sku_count</t>
        </is>
      </c>
    </row>
    <row r="81">
      <c r="A81" s="9" t="inlineStr">
        <is>
          <t>Объект и задачи</t>
        </is>
      </c>
      <c r="B81" s="10" t="inlineStr">
        <is>
          <t>Товар разложен по ходовости</t>
        </is>
      </c>
      <c r="C81" s="22" t="n">
        <v>0</v>
      </c>
      <c r="D81" s="9" t="inlineStr">
        <is>
          <t>1 да, 0 нет</t>
        </is>
      </c>
      <c r="E81" s="34" t="inlineStr">
        <is>
          <t>F</t>
        </is>
      </c>
      <c r="F81" s="9" t="inlineStr">
        <is>
          <t>Выбор клиента: разложен ли товар по ходовости, 1 да, 0 нет. По умолчанию нет: так расчет осторожнее, а на Восток-Сервисе роботов и без этого вышло вдвое больше нашей формулы</t>
        </is>
      </c>
      <c r="G81" s="9" t="n"/>
      <c r="H81" s="9" t="inlineStr">
        <is>
          <t>facilities.warehouse.slotted_by_turnover</t>
        </is>
      </c>
    </row>
    <row r="82">
      <c r="A82" s="9" t="inlineStr">
        <is>
          <t>Объект и задачи</t>
        </is>
      </c>
      <c r="B82" s="10" t="inlineStr">
        <is>
          <t>Потери рабочего времени</t>
        </is>
      </c>
      <c r="C82" s="22" t="n">
        <v>0.25</v>
      </c>
      <c r="D82" s="9" t="inlineStr">
        <is>
          <t>доля</t>
        </is>
      </c>
      <c r="E82" s="34" t="inlineStr">
        <is>
          <t>D</t>
        </is>
      </c>
      <c r="F82" s="9" t="inlineStr">
        <is>
          <t>Отраслевой датасет по складам, лист "Склад": +25% к нормативной численности</t>
        </is>
      </c>
      <c r="G82" s="9" t="inlineStr">
        <is>
          <t>2026-09</t>
        </is>
      </c>
      <c r="H82" s="9" t="inlineStr">
        <is>
          <t>facilities.warehouse.staff_loss_share</t>
        </is>
      </c>
    </row>
    <row r="83">
      <c r="A83" s="9" t="inlineStr">
        <is>
          <t>Допущения модели</t>
        </is>
      </c>
      <c r="B83" s="10" t="inlineStr">
        <is>
          <t>Площадь робозоны на робота отбора</t>
        </is>
      </c>
      <c r="C83" s="22" t="n">
        <v>50</v>
      </c>
      <c r="D83" s="9" t="inlineStr">
        <is>
          <t>м²</t>
        </is>
      </c>
      <c r="E83" s="34" t="inlineStr">
        <is>
          <t>C</t>
        </is>
      </c>
      <c r="F83" s="9" t="inlineStr">
        <is>
          <t>Кейсы внедрений, страницы открыты 29.09.2026. Decathlon Куньшань, Geek+ P800, blog.geekplus.com: "46 P800 robots", "project area is about 2,000 square meters", "7 picking stations" - 43 м2 на робота. HIK, Япония, en.myrobotsolution.com: "181 AMRs", "26 workstations", warehouse "spanning over 11,000 m2" - 61 м2 на робота. Geek+ в Китае (nissa-eng.ru не открылся, страница-тег blog.geekplus.com без цифр по конкретному складу) и Tmall (thewirechina.com за платным доступом) не подтвердились. По двум подтвержденным случаям 43-61, среднее около 52, оставляем 50 между ними</t>
        </is>
      </c>
      <c r="G83" s="9" t="inlineStr">
        <is>
          <t>2026-09</t>
        </is>
      </c>
      <c r="H83" s="9" t="inlineStr">
        <is>
          <t>engine.geometry.picking_m2_per_robot</t>
        </is>
      </c>
    </row>
    <row r="84">
      <c r="A84" s="9" t="inlineStr">
        <is>
          <t>Допущения модели</t>
        </is>
      </c>
      <c r="B84" s="10" t="inlineStr">
        <is>
          <t>Поправка маршрута на повороты и объезды</t>
        </is>
      </c>
      <c r="C84" s="22" t="n">
        <v>0.75</v>
      </c>
      <c r="D84" s="9" t="inlineStr">
        <is>
          <t>от стороны зоны</t>
        </is>
      </c>
      <c r="E84" s="34" t="inlineStr">
        <is>
          <t>F</t>
        </is>
      </c>
      <c r="F84" s="9" t="inlineStr">
        <is>
          <t>Геометрия: квадратная зона, ворота посередине стороны, движение по проходам: среднее расстояние 0,25 + 0,5 стороны</t>
        </is>
      </c>
      <c r="G84" s="9" t="inlineStr">
        <is>
          <t>2026-09</t>
        </is>
      </c>
      <c r="H84" s="9" t="inlineStr">
        <is>
          <t>engine.geometry.route_factor</t>
        </is>
      </c>
    </row>
    <row r="85">
      <c r="A85" s="9" t="inlineStr">
        <is>
          <t>Допущения модели</t>
        </is>
      </c>
      <c r="B85" s="10" t="inlineStr">
        <is>
          <t>Запас высоты подъема над ярусом</t>
        </is>
      </c>
      <c r="C85" s="22" t="n">
        <v>1000</v>
      </c>
      <c r="D85" s="9" t="inlineStr">
        <is>
          <t>мм</t>
        </is>
      </c>
      <c r="E85" s="34" t="inlineStr">
        <is>
          <t>F</t>
        </is>
      </c>
      <c r="F85" s="9" t="inlineStr">
        <is>
          <t>Наше правило: подъем до метра это подхват паллеты с пола, выше это штабелирование в стеллаж. Только штабелерам проверяем, достают ли они до верхнего яруса</t>
        </is>
      </c>
      <c r="G85" s="9" t="n"/>
      <c r="H85" s="9" t="inlineStr">
        <is>
          <t>engine.selection.stacking_lift_mm</t>
        </is>
      </c>
    </row>
    <row r="86">
      <c r="A86" s="9" t="inlineStr">
        <is>
          <t>Допущения модели</t>
        </is>
      </c>
      <c r="B86" s="10" t="inlineStr">
        <is>
          <t>Роботов в строю</t>
        </is>
      </c>
      <c r="C86" s="22" t="n">
        <v>0.9</v>
      </c>
      <c r="D86" s="9" t="inlineStr">
        <is>
          <t>доля</t>
        </is>
      </c>
      <c r="E86" s="34" t="inlineStr">
        <is>
          <t>F</t>
        </is>
      </c>
      <c r="F86" s="9" t="inlineStr">
        <is>
          <t>Что остается от коэффициента загрузки после симуляции: очереди и зарядку она считает сама, остаются плановое ТО и мелкие простои. Источника нет, допущение команды</t>
        </is>
      </c>
      <c r="G86" s="9" t="n"/>
      <c r="H86" s="9" t="inlineStr">
        <is>
          <t>engine.simulation.availability</t>
        </is>
      </c>
    </row>
    <row r="87">
      <c r="A87" s="9" t="inlineStr">
        <is>
          <t>Допущения модели</t>
        </is>
      </c>
      <c r="B87" s="10" t="inlineStr">
        <is>
          <t>Часов пика в смене</t>
        </is>
      </c>
      <c r="C87" s="22" t="n">
        <v>2</v>
      </c>
      <c r="D87" s="9" t="inlineStr">
        <is>
          <t>ч</t>
        </is>
      </c>
      <c r="E87" s="34" t="inlineStr">
        <is>
          <t>F</t>
        </is>
      </c>
      <c r="F87" s="9" t="inlineStr">
        <is>
          <t>Нет источника: сколько длится пик. Датасет дает только отношение пикового часа к среднему (лист "Склад", 1,5), форму дня для склада не публикует никто. Берем два часа, допущение команды</t>
        </is>
      </c>
      <c r="G87" s="9" t="n"/>
      <c r="H87" s="9" t="inlineStr">
        <is>
          <t>engine.simulation.peak_hours</t>
        </is>
      </c>
    </row>
    <row r="88">
      <c r="A88" s="9" t="inlineStr">
        <is>
          <t>Допущения модели</t>
        </is>
      </c>
      <c r="B88" s="10" t="inlineStr">
        <is>
          <t>Роботов в одном проезде</t>
        </is>
      </c>
      <c r="C88" s="22" t="n">
        <v>3</v>
      </c>
      <c r="D88" s="9" t="inlineStr">
        <is>
          <t>роботов</t>
        </is>
      </c>
      <c r="E88" s="34" t="inlineStr">
        <is>
          <t>F</t>
        </is>
      </c>
      <c r="F88" s="9" t="inlineStr">
        <is>
          <t>Сколько роботов помещаются в одной части проезда между рядами, от поперечного проезда до поперечного. Источника нет: зависит от длины части и дистанции между роботами, допущение команды</t>
        </is>
      </c>
      <c r="G88" s="9" t="n"/>
      <c r="H88" s="9" t="inlineStr">
        <is>
          <t>engine.simulation.robots_per_aisle</t>
        </is>
      </c>
    </row>
    <row r="89">
      <c r="A89" s="9" t="inlineStr">
        <is>
          <t>Как платим за покупку</t>
        </is>
      </c>
      <c r="B89" s="10" t="inlineStr">
        <is>
          <t>Способ оплаты покупки</t>
        </is>
      </c>
      <c r="C89" s="22" t="n">
        <v>0</v>
      </c>
      <c r="D89" s="9" t="inlineStr">
        <is>
          <t>0 свои, 1 кредит, 2 лизинг</t>
        </is>
      </c>
      <c r="E89" s="34" t="inlineStr">
        <is>
          <t>S</t>
        </is>
      </c>
      <c r="F89" s="9" t="inlineStr">
        <is>
          <t>Выбор пользователя: 0 свои деньги, 1 кредит, 2 лизинг. По умолчанию свои деньги: так считает базовый сценарий в Дополнениях к ТЗ, п. 2.1</t>
        </is>
      </c>
      <c r="G89" s="9" t="inlineStr">
        <is>
          <t>2026-09</t>
        </is>
      </c>
      <c r="H89" s="9" t="inlineStr">
        <is>
          <t>financing.method</t>
        </is>
      </c>
    </row>
    <row r="90">
      <c r="A90" s="9" t="inlineStr">
        <is>
          <t>Выход на режим</t>
        </is>
      </c>
      <c r="B90" s="10" t="inlineStr">
        <is>
          <t>Выход на режим: эффект в первый месяц, перевозка и уборка</t>
        </is>
      </c>
      <c r="C90" s="22" t="n">
        <v>0.7</v>
      </c>
      <c r="D90" s="9" t="inlineStr">
        <is>
          <t>доля</t>
        </is>
      </c>
      <c r="E90" s="34" t="inlineStr">
        <is>
          <t>F</t>
        </is>
      </c>
      <c r="F90" s="9" t="inlineStr">
        <is>
          <t>Нет источника: сколько эффекта дают роботы в первый месяц. Про простые AMR пишут "up and running in days, not months" (Locus Robotics, Rapid Deployment), пилот Ronavi около 4 недель (ronavi-robotics.ru/industry/3pl); просадку 10-20% в первые две недели называет JIT Transportation без источника</t>
        </is>
      </c>
      <c r="G90" s="9" t="n"/>
      <c r="H90" s="9" t="inlineStr">
        <is>
          <t>ramp_up.simple.first_month_share</t>
        </is>
      </c>
    </row>
    <row r="91">
      <c r="A91" s="9" t="inlineStr">
        <is>
          <t>Выход на режим</t>
        </is>
      </c>
      <c r="B91" s="10" t="inlineStr">
        <is>
          <t>Выход на режим: месяцев до полного эффекта, перевозка и уборка</t>
        </is>
      </c>
      <c r="C91" s="22" t="n">
        <v>1</v>
      </c>
      <c r="D91" s="9" t="inlineStr">
        <is>
          <t>мес.</t>
        </is>
      </c>
      <c r="E91" s="34" t="inlineStr">
        <is>
          <t>F</t>
        </is>
      </c>
      <c r="F91" s="9" t="inlineStr">
        <is>
          <t>Нет источника: через сколько месяцев выход на полный эффект. Внедрение простых AMR 4-8 недель (6 River Systems, Ronavi)</t>
        </is>
      </c>
      <c r="G91" s="9" t="n"/>
      <c r="H91" s="9" t="inlineStr">
        <is>
          <t>ramp_up.simple.months</t>
        </is>
      </c>
    </row>
  </sheetData>
  <pageMargins left="0.75" right="0.75" top="1" bottom="1" header="0.5" footer="0.5"/>
  <pageSetup orientation="landscape" paperSize="9" fitToHeight="0" fitToWidth="1"/>
  <headerFooter>
    <oddHeader/>
    <oddFooter>&amp;LРасклад · предварительная оценка&amp;RЛист &amp;P из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2026-10-18T19:58:20Z</dcterms:created>
  <dcterms:modified xmlns:dcterms="http://purl.org/dc/terms/" xmlns:xsi="http://www.w3.org/2001/XMLSchema-instance" xsi:type="dcterms:W3CDTF">2026-10-18T19:58:20Z</dcterms:modified>
</cp:coreProperties>
</file>