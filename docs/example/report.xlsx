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Итог" sheetId="1" state="visible" r:id="rId1"/>
    <sheet name="По годам" sheetId="2" state="visible" r:id="rId2"/>
    <sheet name="Затраты" sheetId="3" state="visible" r:id="rId3"/>
    <sheet name="Что будет, если" sheetId="4" state="visible" r:id="rId4"/>
    <sheet name="Парк и штат" sheetId="5" state="visible" r:id="rId5"/>
    <sheet name="Смена" sheetId="6" state="visible" r:id="rId6"/>
    <sheet name="Параметры" sheetId="7" state="visible" r:id="rId7"/>
    <sheet name="Источники" sheetId="8" state="visible" r:id="rId8"/>
  </sheets>
  <definedNames>
    <definedName name="_xlnm.Print_Titles" localSheetId="0">'Итог'!$5:$5</definedName>
    <definedName name="_xlnm.Print_Titles" localSheetId="1">'По годам'!$5:$5</definedName>
    <definedName name="_xlnm.Print_Titles" localSheetId="2">'Затраты'!$5:$5</definedName>
    <definedName name="_xlnm.Print_Titles" localSheetId="3">'Что будет, если'!$5:$5</definedName>
    <definedName name="_xlnm.Print_Titles" localSheetId="4">'Парк и штат'!$5:$5</definedName>
    <definedName name="_xlnm.Print_Titles" localSheetId="5">'Смена'!$5:$5</definedName>
    <definedName name="_xlnm.Print_Titles" localSheetId="6">'Параметры'!$5:$5</definedName>
    <definedName name="_xlnm.Print_Titles" localSheetId="7">'Источники'!$5:$5</definedName>
  </definedNames>
  <calcPr calcId="124519" fullCalcOnLoad="1"/>
</workbook>
</file>

<file path=xl/styles.xml><?xml version="1.0" encoding="utf-8"?>
<styleSheet xmlns="http://schemas.openxmlformats.org/spreadsheetml/2006/main">
  <numFmts count="4">
    <numFmt numFmtId="164" formatCode="#,##0 &quot;₽&quot;;-#,##0 &quot;₽&quot;;&quot;0 ₽&quot;"/>
    <numFmt numFmtId="165" formatCode="#,##0.0,, &quot;млн ₽&quot;"/>
    <numFmt numFmtId="166" formatCode="0.0"/>
    <numFmt numFmtId="167" formatCode="0.0%"/>
  </numFmts>
  <fonts count="8">
    <font>
      <name val="Calibri"/>
      <family val="2"/>
      <color theme="1"/>
      <sz val="11"/>
      <scheme val="minor"/>
    </font>
    <font>
      <name val="Arial"/>
      <b val="1"/>
      <color rgb="000D141B"/>
      <sz val="14"/>
    </font>
    <font>
      <name val="Arial"/>
      <color rgb="0055636F"/>
      <sz val="9"/>
    </font>
    <font>
      <name val="Arial"/>
      <color rgb="000B4FA8"/>
      <sz val="9"/>
    </font>
    <font>
      <name val="Arial"/>
      <b val="1"/>
      <color rgb="0055636F"/>
      <sz val="9"/>
    </font>
    <font>
      <name val="Arial"/>
      <color rgb="000D141B"/>
      <sz val="10"/>
    </font>
    <font>
      <name val="Arial"/>
      <b val="1"/>
      <color rgb="000D141B"/>
      <sz val="10"/>
    </font>
    <font>
      <name val="Arial"/>
      <b val="1"/>
      <color rgb="000B4FA8"/>
      <sz val="10"/>
    </font>
  </fonts>
  <fills count="2">
    <fill>
      <patternFill/>
    </fill>
    <fill>
      <patternFill patternType="gray125"/>
    </fill>
  </fills>
  <borders count="4">
    <border>
      <left/>
      <right/>
      <top/>
      <bottom/>
      <diagonal/>
    </border>
    <border>
      <bottom style="medium">
        <color rgb="001E4F8E"/>
      </bottom>
    </border>
    <border>
      <bottom style="thin">
        <color rgb="00C9D2DB"/>
      </bottom>
    </border>
    <border>
      <bottom style="thin">
        <color rgb="000D141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applyAlignment="1" pivotButton="0" quotePrefix="0" xfId="0">
      <alignment horizontal="left" vertical="bottom" wrapText="1"/>
    </xf>
    <xf numFmtId="0" fontId="4" fillId="0" borderId="1" applyAlignment="1" pivotButton="0" quotePrefix="0" xfId="0">
      <alignment horizontal="right" vertical="bottom" wrapText="1"/>
    </xf>
    <xf numFmtId="0" fontId="4" fillId="0" borderId="1" applyAlignment="1" pivotButton="0" quotePrefix="0" xfId="0">
      <alignment horizontal="left" vertical="bottom"/>
    </xf>
    <xf numFmtId="0" fontId="6" fillId="0" borderId="2" applyAlignment="1" pivotButton="0" quotePrefix="0" xfId="0">
      <alignment vertical="top" wrapText="1"/>
    </xf>
    <xf numFmtId="165" fontId="6" fillId="0" borderId="2" applyAlignment="1" pivotButton="0" quotePrefix="0" xfId="0">
      <alignment horizontal="right" vertical="top"/>
    </xf>
    <xf numFmtId="0" fontId="2" fillId="0" borderId="2" applyAlignment="1" pivotButton="0" quotePrefix="0" xfId="0">
      <alignment vertical="top" wrapText="1"/>
    </xf>
    <xf numFmtId="0" fontId="5" fillId="0" borderId="2" applyAlignment="1" pivotButton="0" quotePrefix="0" xfId="0">
      <alignment vertical="top" wrapText="1"/>
    </xf>
    <xf numFmtId="165" fontId="5" fillId="0" borderId="2" applyAlignment="1" pivotButton="0" quotePrefix="0" xfId="0">
      <alignment horizontal="right" vertical="top"/>
    </xf>
    <xf numFmtId="0" fontId="2" fillId="0" borderId="2" applyAlignment="1" pivotButton="0" quotePrefix="0" xfId="0">
      <alignment horizontal="right" vertical="top"/>
    </xf>
    <xf numFmtId="166" fontId="5" fillId="0" borderId="2" applyAlignment="1" pivotButton="0" quotePrefix="0" xfId="0">
      <alignment horizontal="right" vertical="top"/>
    </xf>
    <xf numFmtId="9" fontId="5" fillId="0" borderId="2" applyAlignment="1" pivotButton="0" quotePrefix="0" xfId="0">
      <alignment horizontal="right" vertical="top"/>
    </xf>
    <xf numFmtId="0" fontId="5" fillId="0" borderId="2" applyAlignment="1" pivotButton="0" quotePrefix="0" xfId="0">
      <alignment horizontal="right" vertical="top"/>
    </xf>
    <xf numFmtId="0" fontId="6" fillId="0" borderId="0" pivotButton="0" quotePrefix="0" xfId="0"/>
    <xf numFmtId="0" fontId="5" fillId="0" borderId="0" applyAlignment="1" pivotButton="0" quotePrefix="0" xfId="0">
      <alignment vertical="top" wrapText="1"/>
    </xf>
    <xf numFmtId="164" fontId="5" fillId="0" borderId="2" applyAlignment="1" pivotButton="0" quotePrefix="0" xfId="0">
      <alignment horizontal="right" vertical="top"/>
    </xf>
    <xf numFmtId="0" fontId="5" fillId="0" borderId="3" applyAlignment="1" pivotButton="0" quotePrefix="0" xfId="0">
      <alignment vertical="top" wrapText="1"/>
    </xf>
    <xf numFmtId="164" fontId="5" fillId="0" borderId="3" applyAlignment="1" pivotButton="0" quotePrefix="0" xfId="0">
      <alignment horizontal="right" vertical="top"/>
    </xf>
    <xf numFmtId="0" fontId="5" fillId="0" borderId="2" applyAlignment="1" pivotButton="0" quotePrefix="0" xfId="0">
      <alignment horizontal="right" vertical="top"/>
    </xf>
    <xf numFmtId="2" fontId="5" fillId="0" borderId="2" applyAlignment="1" pivotButton="0" quotePrefix="0" xfId="0">
      <alignment horizontal="right" vertical="top"/>
    </xf>
    <xf numFmtId="0" fontId="6" fillId="0" borderId="2" applyAlignment="1" pivotButton="0" quotePrefix="0" xfId="0">
      <alignment horizontal="right" vertical="top"/>
    </xf>
    <xf numFmtId="2" fontId="6" fillId="0" borderId="2" applyAlignment="1" pivotButton="0" quotePrefix="0" xfId="0">
      <alignment horizontal="right" vertical="top"/>
    </xf>
    <xf numFmtId="164" fontId="6" fillId="0" borderId="2" applyAlignment="1" pivotButton="0" quotePrefix="0" xfId="0">
      <alignment horizontal="right" vertical="top"/>
    </xf>
    <xf numFmtId="1" fontId="5" fillId="0" borderId="2" applyAlignment="1" pivotButton="0" quotePrefix="0" xfId="0">
      <alignment horizontal="right" vertical="top"/>
    </xf>
    <xf numFmtId="166" fontId="5" fillId="0" borderId="2" applyAlignment="1" pivotButton="0" quotePrefix="0" xfId="0">
      <alignment horizontal="right" vertical="top"/>
    </xf>
    <xf numFmtId="0" fontId="4" fillId="0" borderId="1" applyAlignment="1" pivotButton="0" quotePrefix="0" xfId="0">
      <alignment horizontal="left" wrapText="1"/>
    </xf>
    <xf numFmtId="0" fontId="4" fillId="0" borderId="1" applyAlignment="1" pivotButton="0" quotePrefix="0" xfId="0">
      <alignment horizontal="right" wrapText="1"/>
    </xf>
    <xf numFmtId="9" fontId="5" fillId="0" borderId="2" applyAlignment="1" pivotButton="0" quotePrefix="0" xfId="0">
      <alignment horizontal="right" vertical="top"/>
    </xf>
    <xf numFmtId="167" fontId="5" fillId="0" borderId="2" applyAlignment="1" pivotButton="0" quotePrefix="0" xfId="0">
      <alignment horizontal="right" vertical="top"/>
    </xf>
    <xf numFmtId="0" fontId="7" fillId="0" borderId="2" applyAlignment="1" pivotButton="0" quotePrefix="0" xfId="0">
      <alignment vertical="top" wrapText="1"/>
    </xf>
    <xf numFmtId="0" fontId="3" fillId="0"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24"/>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6" customWidth="1" min="1" max="1"/>
    <col width="16" customWidth="1" min="2" max="2"/>
    <col width="16" customWidth="1" min="3" max="3"/>
    <col width="16" customWidth="1" min="4" max="4"/>
    <col width="50" customWidth="1" min="5" max="5"/>
  </cols>
  <sheetData>
    <row r="1" ht="22" customHeight="1">
      <c r="A1" s="1" t="inlineStr">
        <is>
          <t>Три сценария</t>
        </is>
      </c>
    </row>
    <row r="2">
      <c r="A2" s="2" t="inlineStr">
        <is>
          <t>Склад, перевозка паллет между зонами · Ronavi H1500 (грузоподъемность до 1 500 кг) · расчет от 28.09.2026 22:10 мск · модель 0.2</t>
        </is>
      </c>
    </row>
    <row r="3">
      <c r="A3" s="3" t="inlineStr">
        <is>
          <t>Предварительная оценка, не коммерческое предложение</t>
        </is>
      </c>
    </row>
    <row r="4"/>
    <row r="5">
      <c r="A5" s="4" t="inlineStr">
        <is>
          <t>Показатель</t>
        </is>
      </c>
      <c r="B5" s="5" t="inlineStr">
        <is>
          <t>Без роботов</t>
        </is>
      </c>
      <c r="C5" s="5" t="inlineStr">
        <is>
          <t>Покупка</t>
        </is>
      </c>
      <c r="D5" s="5" t="inlineStr">
        <is>
          <t>Аренда</t>
        </is>
      </c>
      <c r="E5" s="6" t="inlineStr">
        <is>
          <t>Как посчитано</t>
        </is>
      </c>
    </row>
    <row r="6">
      <c r="A6" s="7" t="inlineStr">
        <is>
          <t>Стоимость владения за 5 лет</t>
        </is>
      </c>
      <c r="B6" s="8">
        <f>'По годам'!G11</f>
        <v/>
      </c>
      <c r="C6" s="8">
        <f>'По годам'!G17</f>
        <v/>
      </c>
      <c r="D6" s="8">
        <f>'По годам'!G23</f>
        <v/>
      </c>
      <c r="E6" s="9" t="inlineStr">
        <is>
          <t>Накопленные затраты последнего года на листе «По годам»</t>
        </is>
      </c>
    </row>
    <row r="7">
      <c r="A7" s="10" t="inlineStr">
        <is>
          <t>Вложения на старте</t>
        </is>
      </c>
      <c r="B7" s="11">
        <f>'По годам'!E6</f>
        <v/>
      </c>
      <c r="C7" s="11">
        <f>'По годам'!E12</f>
        <v/>
      </c>
      <c r="D7" s="11">
        <f>'По годам'!E18</f>
        <v/>
      </c>
      <c r="E7" s="9" t="inlineStr">
        <is>
          <t>Год 0 на листе «По годам»</t>
        </is>
      </c>
    </row>
    <row r="8">
      <c r="A8" s="10" t="inlineStr">
        <is>
          <t>Затраты за 5 лет без вложений</t>
        </is>
      </c>
      <c r="B8" s="11">
        <f>B6-B7</f>
        <v/>
      </c>
      <c r="C8" s="11">
        <f>C6-C7</f>
        <v/>
      </c>
      <c r="D8" s="11">
        <f>D6-D7</f>
        <v/>
      </c>
      <c r="E8" s="9" t="inlineStr">
        <is>
          <t>Стоимость владения - вложения на старте</t>
        </is>
      </c>
    </row>
    <row r="9">
      <c r="A9" s="10" t="inlineStr">
        <is>
          <t>Дешевле, чем без роботов</t>
        </is>
      </c>
      <c r="B9" s="12" t="inlineStr">
        <is>
          <t>—</t>
        </is>
      </c>
      <c r="C9" s="11">
        <f>B6-C6</f>
        <v/>
      </c>
      <c r="D9" s="11">
        <f>B6-D6</f>
        <v/>
      </c>
      <c r="E9" s="9" t="inlineStr">
        <is>
          <t>Стоимость владения без роботов - стоимость владения сценария</t>
        </is>
      </c>
    </row>
    <row r="10">
      <c r="A10" s="10" t="inlineStr">
        <is>
          <t>Годовой эффект, первый год</t>
        </is>
      </c>
      <c r="B10" s="12" t="inlineStr">
        <is>
          <t>—</t>
        </is>
      </c>
      <c r="C10" s="11">
        <f>'По годам'!H13</f>
        <v/>
      </c>
      <c r="D10" s="11">
        <f>'По годам'!H19</f>
        <v/>
      </c>
      <c r="E10" s="9" t="inlineStr">
        <is>
          <t>Год 1 на листе «По годам»</t>
        </is>
      </c>
    </row>
    <row r="11">
      <c r="A11" s="10" t="inlineStr">
        <is>
          <t>Окупаемость по ТЗ, лет</t>
        </is>
      </c>
      <c r="B11" s="12" t="inlineStr">
        <is>
          <t>—</t>
        </is>
      </c>
      <c r="C11" s="13">
        <f>C7/C10</f>
        <v/>
      </c>
      <c r="D11" s="13">
        <f>D7/D10</f>
        <v/>
      </c>
      <c r="E11" s="9" t="inlineStr">
        <is>
          <t>Вложения на старте / годовой эффект</t>
        </is>
      </c>
    </row>
    <row r="12">
      <c r="A12" s="10" t="inlineStr">
        <is>
          <t>Окупаемость по потоку, лет</t>
        </is>
      </c>
      <c r="B12" s="12" t="inlineStr">
        <is>
          <t>—</t>
        </is>
      </c>
      <c r="C12" s="13" t="n">
        <v>1.331655295008924</v>
      </c>
      <c r="D12" s="13" t="n">
        <v>0.5201490009460576</v>
      </c>
      <c r="E12" s="9" t="inlineStr">
        <is>
          <t>Когда накопленная экономия перекроет вложения, с ростом цен и выкупом. Считает сервер</t>
        </is>
      </c>
    </row>
    <row r="13">
      <c r="A13" s="10" t="inlineStr">
        <is>
          <t>ROI по ТЗ</t>
        </is>
      </c>
      <c r="B13" s="12" t="inlineStr">
        <is>
          <t>—</t>
        </is>
      </c>
      <c r="C13" s="14" t="n">
        <v>4.315610916384532</v>
      </c>
      <c r="D13" s="14" t="n">
        <v>7.355219856454718</v>
      </c>
      <c r="E13" s="9" t="inlineStr">
        <is>
          <t>Накопленный эффект / вложения</t>
        </is>
      </c>
    </row>
    <row r="14">
      <c r="A14" s="10" t="inlineStr">
        <is>
          <t>Чистый ROI</t>
        </is>
      </c>
      <c r="B14" s="12" t="inlineStr">
        <is>
          <t>—</t>
        </is>
      </c>
      <c r="C14" s="14" t="n">
        <v>3.315610916384533</v>
      </c>
      <c r="D14" s="14" t="n">
        <v>6.355219856454718</v>
      </c>
      <c r="E14" s="9" t="inlineStr">
        <is>
          <t>(Накопленный эффект - вложения) / вложения</t>
        </is>
      </c>
    </row>
    <row r="15">
      <c r="A15" s="10" t="inlineStr">
        <is>
          <t>NPV</t>
        </is>
      </c>
      <c r="B15" s="12" t="inlineStr">
        <is>
          <t>—</t>
        </is>
      </c>
      <c r="C15" s="11" t="n">
        <v>78808685.02208024</v>
      </c>
      <c r="D15" s="11" t="n">
        <v>84642686.82020436</v>
      </c>
      <c r="E15" s="9" t="inlineStr">
        <is>
          <t>Чистая приведенная стоимость, считает сервер</t>
        </is>
      </c>
    </row>
    <row r="16">
      <c r="A16" s="10" t="inlineStr">
        <is>
          <t>IRR проекта</t>
        </is>
      </c>
      <c r="B16" s="12" t="inlineStr">
        <is>
          <t>—</t>
        </is>
      </c>
      <c r="C16" s="14" t="n">
        <v>0.7494148537315777</v>
      </c>
      <c r="D16" s="15" t="inlineStr">
        <is>
          <t>больше 100%</t>
        </is>
      </c>
      <c r="E16" s="9" t="inlineStr">
        <is>
          <t>Ставка, при которой NPV = 0, без схемы оплаты. Выше 100% пишем словами: вложения возвращаются быстрее, чем за год</t>
        </is>
      </c>
    </row>
    <row r="17"/>
    <row r="18">
      <c r="A18" s="16" t="inlineStr">
        <is>
          <t>Вывод</t>
        </is>
      </c>
    </row>
    <row r="19" ht="14" customHeight="1">
      <c r="A19" s="17" t="inlineStr">
        <is>
          <t>Покупка, до 3 лет: Вложения возвращаются за 1,3 года, за горизонт операция дешевеет на 137,2 млн рублей.</t>
        </is>
      </c>
    </row>
    <row r="20" ht="14" customHeight="1">
      <c r="A20" s="17" t="inlineStr">
        <is>
          <t>Аренда, до 3 лет: Вложения возвращаются за 0,5 года, за горизонт операция дешевеет на 135,0 млн рублей.</t>
        </is>
      </c>
    </row>
    <row r="21"/>
    <row r="22">
      <c r="A22" s="16" t="inlineStr">
        <is>
          <t>Что может сдвинуть вывод</t>
        </is>
      </c>
    </row>
    <row r="23" ht="28" customHeight="1">
      <c r="A23" s="17" t="inlineStr">
        <is>
          <t>1. План объекта вы не чертили: мы взяли типовую планировку склада, поэтому где на вашем объекте стоят ворота и зоны хранения, нам неизвестно, а от этого зависит длина маршрута</t>
        </is>
      </c>
    </row>
    <row r="24" ht="28" customHeight="1">
      <c r="A24" s="17" t="inlineStr">
        <is>
          <t>2. Выход на режим: в первый год экономия меньше на 1,1 млн рублей. Сколько месяцев роботы работают не на полную, никто не публикует, это наше допущение</t>
        </is>
      </c>
    </row>
  </sheetData>
  <mergeCells count="4">
    <mergeCell ref="A24:E24"/>
    <mergeCell ref="A23:E23"/>
    <mergeCell ref="A20:E20"/>
    <mergeCell ref="A19:E19"/>
  </mergeCells>
  <pageMargins left="0.75" right="0.75" top="1" bottom="1" header="0.5" footer="0.5"/>
  <pageSetup orientation="portrait" paperSize="9" fitToHeight="0" fitToWidth="1"/>
  <headerFooter>
    <oddHeader/>
    <oddFooter>&amp;LРасклад · предварительная оценка&amp;RЛист &amp;P из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I2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6" customWidth="1" min="1" max="1"/>
    <col width="7" customWidth="1" min="2" max="2"/>
    <col width="18" customWidth="1" min="3" max="3"/>
    <col width="20" customWidth="1" min="4" max="4"/>
    <col width="16" customWidth="1" min="5" max="5"/>
    <col width="16" customWidth="1" min="6" max="6"/>
    <col width="18" customWidth="1" min="7" max="7"/>
    <col width="20" customWidth="1" min="8" max="8"/>
    <col width="18" customWidth="1" min="9" max="9"/>
  </cols>
  <sheetData>
    <row r="1" ht="22" customHeight="1">
      <c r="A1" s="1" t="inlineStr">
        <is>
          <t>Сценарии по годам</t>
        </is>
      </c>
    </row>
    <row r="2">
      <c r="A2" s="2" t="inlineStr">
        <is>
          <t>Склад, перевозка паллет между зонами · Ronavi H1500 (грузоподъемность до 1 500 кг) · расчет от 28.09.2026 22:10 мск · модель 0.2</t>
        </is>
      </c>
    </row>
    <row r="3">
      <c r="A3" s="3" t="inlineStr">
        <is>
          <t>Предварительная оценка, не коммерческое предложение</t>
        </is>
      </c>
    </row>
    <row r="4"/>
    <row r="5" ht="40" customHeight="1">
      <c r="A5" s="4" t="inlineStr">
        <is>
          <t>Сценарий</t>
        </is>
      </c>
      <c r="B5" s="5" t="inlineStr">
        <is>
          <t>Год</t>
        </is>
      </c>
      <c r="C5" s="5" t="inlineStr">
        <is>
          <t>Люди на операции, ₽</t>
        </is>
      </c>
      <c r="D5" s="5" t="inlineStr">
        <is>
          <t>Роботы: операторы, обслуживание, энергия, аренда, ₽</t>
        </is>
      </c>
      <c r="E5" s="5" t="inlineStr">
        <is>
          <t>Вложения, платежи по долгу минус господдержка, ₽</t>
        </is>
      </c>
      <c r="F5" s="5" t="inlineStr">
        <is>
          <t>Затраты за год, ₽</t>
        </is>
      </c>
      <c r="G5" s="5" t="inlineStr">
        <is>
          <t>Накопленные затраты, ₽</t>
        </is>
      </c>
      <c r="H5" s="5" t="inlineStr">
        <is>
          <t>Эффект против работы без роботов, ₽</t>
        </is>
      </c>
      <c r="I5" s="5" t="inlineStr">
        <is>
          <t>Денежный поток, ₽</t>
        </is>
      </c>
    </row>
    <row r="6">
      <c r="A6" s="10" t="inlineStr">
        <is>
          <t>Без роботов</t>
        </is>
      </c>
      <c r="B6" s="18" t="n">
        <v>0</v>
      </c>
      <c r="C6" s="18" t="n">
        <v>0</v>
      </c>
      <c r="D6" s="18" t="n">
        <v>0</v>
      </c>
      <c r="E6" s="18" t="n">
        <v>0</v>
      </c>
      <c r="F6" s="18">
        <f>C6+D6+E6</f>
        <v/>
      </c>
      <c r="G6" s="18">
        <f>F6</f>
        <v/>
      </c>
    </row>
    <row r="7">
      <c r="A7" s="10" t="inlineStr">
        <is>
          <t>Без роботов</t>
        </is>
      </c>
      <c r="B7" s="18" t="n">
        <v>1</v>
      </c>
      <c r="C7" s="18" t="n">
        <v>44665200</v>
      </c>
      <c r="D7" s="18" t="n">
        <v>0</v>
      </c>
      <c r="E7" s="18" t="n">
        <v>0</v>
      </c>
      <c r="F7" s="18">
        <f>C7+D7+E7</f>
        <v/>
      </c>
      <c r="G7" s="18">
        <f>G6+F7</f>
        <v/>
      </c>
      <c r="H7" s="18" t="n">
        <v>0</v>
      </c>
      <c r="I7" s="18" t="n">
        <v>0</v>
      </c>
    </row>
    <row r="8">
      <c r="A8" s="10" t="inlineStr">
        <is>
          <t>Без роботов</t>
        </is>
      </c>
      <c r="B8" s="18" t="n">
        <v>2</v>
      </c>
      <c r="C8" s="18" t="n">
        <v>47791764</v>
      </c>
      <c r="D8" s="18" t="n">
        <v>0</v>
      </c>
      <c r="E8" s="18" t="n">
        <v>0</v>
      </c>
      <c r="F8" s="18">
        <f>C8+D8+E8</f>
        <v/>
      </c>
      <c r="G8" s="18">
        <f>G7+F8</f>
        <v/>
      </c>
      <c r="H8" s="18" t="n">
        <v>0</v>
      </c>
      <c r="I8" s="18" t="n">
        <v>0</v>
      </c>
    </row>
    <row r="9">
      <c r="A9" s="10" t="inlineStr">
        <is>
          <t>Без роботов</t>
        </is>
      </c>
      <c r="B9" s="18" t="n">
        <v>3</v>
      </c>
      <c r="C9" s="18" t="n">
        <v>51137187.48</v>
      </c>
      <c r="D9" s="18" t="n">
        <v>0</v>
      </c>
      <c r="E9" s="18" t="n">
        <v>0</v>
      </c>
      <c r="F9" s="18">
        <f>C9+D9+E9</f>
        <v/>
      </c>
      <c r="G9" s="18">
        <f>G8+F9</f>
        <v/>
      </c>
      <c r="H9" s="18" t="n">
        <v>0</v>
      </c>
      <c r="I9" s="18" t="n">
        <v>0</v>
      </c>
    </row>
    <row r="10">
      <c r="A10" s="10" t="inlineStr">
        <is>
          <t>Без роботов</t>
        </is>
      </c>
      <c r="B10" s="18" t="n">
        <v>4</v>
      </c>
      <c r="C10" s="18" t="n">
        <v>54716790.6036</v>
      </c>
      <c r="D10" s="18" t="n">
        <v>0</v>
      </c>
      <c r="E10" s="18" t="n">
        <v>0</v>
      </c>
      <c r="F10" s="18">
        <f>C10+D10+E10</f>
        <v/>
      </c>
      <c r="G10" s="18">
        <f>G9+F10</f>
        <v/>
      </c>
      <c r="H10" s="18" t="n">
        <v>0</v>
      </c>
      <c r="I10" s="18" t="n">
        <v>0</v>
      </c>
    </row>
    <row r="11">
      <c r="A11" s="19" t="inlineStr">
        <is>
          <t>Без роботов</t>
        </is>
      </c>
      <c r="B11" s="20" t="n">
        <v>5</v>
      </c>
      <c r="C11" s="20" t="n">
        <v>58546965.94585201</v>
      </c>
      <c r="D11" s="20" t="n">
        <v>0</v>
      </c>
      <c r="E11" s="20" t="n">
        <v>0</v>
      </c>
      <c r="F11" s="20">
        <f>C11+D11+E11</f>
        <v/>
      </c>
      <c r="G11" s="20">
        <f>G10+F11</f>
        <v/>
      </c>
      <c r="H11" s="20" t="n">
        <v>0</v>
      </c>
      <c r="I11" s="20" t="n">
        <v>0</v>
      </c>
    </row>
    <row r="12">
      <c r="A12" s="10" t="inlineStr">
        <is>
          <t>Покупка</t>
        </is>
      </c>
      <c r="B12" s="18" t="n">
        <v>0</v>
      </c>
      <c r="C12" s="18" t="n">
        <v>0</v>
      </c>
      <c r="D12" s="18" t="n">
        <v>0</v>
      </c>
      <c r="E12" s="18" t="n">
        <v>41393990.11156186</v>
      </c>
      <c r="F12" s="18">
        <f>C12+D12+E12</f>
        <v/>
      </c>
      <c r="G12" s="18">
        <f>F12</f>
        <v/>
      </c>
    </row>
    <row r="13">
      <c r="A13" s="10" t="inlineStr">
        <is>
          <t>Покупка</t>
        </is>
      </c>
      <c r="B13" s="18" t="n">
        <v>1</v>
      </c>
      <c r="C13" s="18" t="n">
        <v>1116630.000000001</v>
      </c>
      <c r="D13" s="18" t="n">
        <v>13310786.27342799</v>
      </c>
      <c r="E13" s="18" t="n">
        <v>0</v>
      </c>
      <c r="F13" s="18">
        <f>C13+D13+E13</f>
        <v/>
      </c>
      <c r="G13" s="18">
        <f>G12+F13</f>
        <v/>
      </c>
      <c r="H13" s="18" t="n">
        <v>30237783.72657201</v>
      </c>
      <c r="I13" s="18" t="n">
        <v>30237783.72657201</v>
      </c>
    </row>
    <row r="14">
      <c r="A14" s="10" t="inlineStr">
        <is>
          <t>Покупка</t>
        </is>
      </c>
      <c r="B14" s="18" t="n">
        <v>2</v>
      </c>
      <c r="C14" s="18" t="n">
        <v>0</v>
      </c>
      <c r="D14" s="18" t="n">
        <v>14153807.50456795</v>
      </c>
      <c r="E14" s="18" t="n">
        <v>0</v>
      </c>
      <c r="F14" s="18">
        <f>C14+D14+E14</f>
        <v/>
      </c>
      <c r="G14" s="18">
        <f>G13+F14</f>
        <v/>
      </c>
      <c r="H14" s="18" t="n">
        <v>33637956.49543205</v>
      </c>
      <c r="I14" s="18" t="n">
        <v>33637956.49543205</v>
      </c>
    </row>
    <row r="15">
      <c r="A15" s="10" t="inlineStr">
        <is>
          <t>Покупка</t>
        </is>
      </c>
      <c r="B15" s="18" t="n">
        <v>3</v>
      </c>
      <c r="C15" s="18" t="n">
        <v>0</v>
      </c>
      <c r="D15" s="18" t="n">
        <v>16590794.37916771</v>
      </c>
      <c r="E15" s="18" t="n">
        <v>0</v>
      </c>
      <c r="F15" s="18">
        <f>C15+D15+E15</f>
        <v/>
      </c>
      <c r="G15" s="18">
        <f>G14+F15</f>
        <v/>
      </c>
      <c r="H15" s="18" t="n">
        <v>34546393.1008323</v>
      </c>
      <c r="I15" s="18" t="n">
        <v>34546393.1008323</v>
      </c>
    </row>
    <row r="16">
      <c r="A16" s="10" t="inlineStr">
        <is>
          <t>Покупка</t>
        </is>
      </c>
      <c r="B16" s="18" t="n">
        <v>4</v>
      </c>
      <c r="C16" s="18" t="n">
        <v>0</v>
      </c>
      <c r="D16" s="18" t="n">
        <v>16011475.33442465</v>
      </c>
      <c r="E16" s="18" t="n">
        <v>0</v>
      </c>
      <c r="F16" s="18">
        <f>C16+D16+E16</f>
        <v/>
      </c>
      <c r="G16" s="18">
        <f>G15+F16</f>
        <v/>
      </c>
      <c r="H16" s="18" t="n">
        <v>38705315.26917535</v>
      </c>
      <c r="I16" s="18" t="n">
        <v>38705315.26917535</v>
      </c>
    </row>
    <row r="17">
      <c r="A17" s="19" t="inlineStr">
        <is>
          <t>Покупка</t>
        </is>
      </c>
      <c r="B17" s="20" t="n">
        <v>5</v>
      </c>
      <c r="C17" s="20" t="n">
        <v>0</v>
      </c>
      <c r="D17" s="20" t="n">
        <v>17034058.93969394</v>
      </c>
      <c r="E17" s="20" t="n">
        <v>0</v>
      </c>
      <c r="F17" s="20">
        <f>C17+D17+E17</f>
        <v/>
      </c>
      <c r="G17" s="20">
        <f>G16+F17</f>
        <v/>
      </c>
      <c r="H17" s="20" t="n">
        <v>41512907.00615807</v>
      </c>
      <c r="I17" s="20" t="n">
        <v>41512907.00615807</v>
      </c>
    </row>
    <row r="18">
      <c r="A18" s="10" t="inlineStr">
        <is>
          <t>Аренда</t>
        </is>
      </c>
      <c r="B18" s="18" t="n">
        <v>0</v>
      </c>
      <c r="C18" s="18" t="n">
        <v>0</v>
      </c>
      <c r="D18" s="18" t="n">
        <v>0</v>
      </c>
      <c r="E18" s="18" t="n">
        <v>11528990.11156187</v>
      </c>
      <c r="F18" s="18">
        <f>C18+D18+E18</f>
        <v/>
      </c>
      <c r="G18" s="18">
        <f>F18</f>
        <v/>
      </c>
    </row>
    <row r="19">
      <c r="A19" s="10" t="inlineStr">
        <is>
          <t>Аренда</t>
        </is>
      </c>
      <c r="B19" s="18" t="n">
        <v>1</v>
      </c>
      <c r="C19" s="18" t="n">
        <v>1116630.000000001</v>
      </c>
      <c r="D19" s="18" t="n">
        <v>21383786.27342799</v>
      </c>
      <c r="E19" s="18" t="n">
        <v>0</v>
      </c>
      <c r="F19" s="18">
        <f>C19+D19+E19</f>
        <v/>
      </c>
      <c r="G19" s="18">
        <f>G18+F19</f>
        <v/>
      </c>
      <c r="H19" s="18" t="n">
        <v>22164783.72657201</v>
      </c>
      <c r="I19" s="18" t="n">
        <v>22164783.72657201</v>
      </c>
    </row>
    <row r="20">
      <c r="A20" s="10" t="inlineStr">
        <is>
          <t>Аренда</t>
        </is>
      </c>
      <c r="B20" s="18" t="n">
        <v>2</v>
      </c>
      <c r="C20" s="18" t="n">
        <v>0</v>
      </c>
      <c r="D20" s="18" t="n">
        <v>22117727.50456795</v>
      </c>
      <c r="E20" s="18" t="n">
        <v>0</v>
      </c>
      <c r="F20" s="18">
        <f>C20+D20+E20</f>
        <v/>
      </c>
      <c r="G20" s="18">
        <f>G19+F20</f>
        <v/>
      </c>
      <c r="H20" s="18" t="n">
        <v>25674036.49543205</v>
      </c>
      <c r="I20" s="18" t="n">
        <v>25674036.49543205</v>
      </c>
    </row>
    <row r="21">
      <c r="A21" s="10" t="inlineStr">
        <is>
          <t>Аренда</t>
        </is>
      </c>
      <c r="B21" s="18" t="n">
        <v>3</v>
      </c>
      <c r="C21" s="18" t="n">
        <v>0</v>
      </c>
      <c r="D21" s="18" t="n">
        <v>22903235.97916771</v>
      </c>
      <c r="E21" s="18" t="n">
        <v>9720000</v>
      </c>
      <c r="F21" s="18">
        <f>C21+D21+E21</f>
        <v/>
      </c>
      <c r="G21" s="18">
        <f>G20+F21</f>
        <v/>
      </c>
      <c r="H21" s="18" t="n">
        <v>28233951.5008323</v>
      </c>
      <c r="I21" s="18" t="n">
        <v>18513951.5008323</v>
      </c>
    </row>
    <row r="22">
      <c r="A22" s="10" t="inlineStr">
        <is>
          <t>Аренда</t>
        </is>
      </c>
      <c r="B22" s="18" t="n">
        <v>4</v>
      </c>
      <c r="C22" s="18" t="n">
        <v>0</v>
      </c>
      <c r="D22" s="18" t="n">
        <v>16011475.33442465</v>
      </c>
      <c r="E22" s="18" t="n">
        <v>0</v>
      </c>
      <c r="F22" s="18">
        <f>C22+D22+E22</f>
        <v/>
      </c>
      <c r="G22" s="18">
        <f>G21+F22</f>
        <v/>
      </c>
      <c r="H22" s="18" t="n">
        <v>38705315.26917535</v>
      </c>
      <c r="I22" s="18" t="n">
        <v>38705315.26917535</v>
      </c>
    </row>
    <row r="23">
      <c r="A23" s="19" t="inlineStr">
        <is>
          <t>Аренда</t>
        </is>
      </c>
      <c r="B23" s="20" t="n">
        <v>5</v>
      </c>
      <c r="C23" s="20" t="n">
        <v>0</v>
      </c>
      <c r="D23" s="20" t="n">
        <v>17034058.93969394</v>
      </c>
      <c r="E23" s="20" t="n">
        <v>0</v>
      </c>
      <c r="F23" s="20">
        <f>C23+D23+E23</f>
        <v/>
      </c>
      <c r="G23" s="20">
        <f>G22+F23</f>
        <v/>
      </c>
      <c r="H23" s="20" t="n">
        <v>41512907.00615807</v>
      </c>
      <c r="I23" s="20" t="n">
        <v>41512907.00615807</v>
      </c>
    </row>
  </sheetData>
  <pageMargins left="0.75" right="0.75" top="1" bottom="1" header="0.5" footer="0.5"/>
  <pageSetup orientation="landscape" paperSize="9" fitToHeight="0" fitToWidth="1"/>
  <headerFooter>
    <oddHeader/>
    <oddFooter>&amp;LРасклад · предварительная оценка&amp;RЛист &amp;P из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2" customWidth="1" min="1" max="1"/>
    <col width="12" customWidth="1" min="2" max="2"/>
    <col width="18" customWidth="1" min="3" max="3"/>
    <col width="18" customWidth="1" min="4" max="4"/>
  </cols>
  <sheetData>
    <row r="1" ht="22" customHeight="1">
      <c r="A1" s="1" t="inlineStr">
        <is>
          <t>Затраты по статьям</t>
        </is>
      </c>
    </row>
    <row r="2">
      <c r="A2" s="2" t="inlineStr">
        <is>
          <t>Склад, перевозка паллет между зонами · Ronavi H1500 (грузоподъемность до 1 500 кг) · расчет от 28.09.2026 22:10 мск · модель 0.2</t>
        </is>
      </c>
    </row>
    <row r="3">
      <c r="A3" s="3" t="inlineStr">
        <is>
          <t>Предварительная оценка, не коммерческое предложение</t>
        </is>
      </c>
    </row>
    <row r="4"/>
    <row r="5">
      <c r="A5" s="4" t="inlineStr">
        <is>
          <t>Статья</t>
        </is>
      </c>
      <c r="B5" s="5" t="inlineStr">
        <is>
          <t>Когда</t>
        </is>
      </c>
      <c r="C5" s="5" t="inlineStr">
        <is>
          <t>Покупка, ₽</t>
        </is>
      </c>
      <c r="D5" s="5" t="inlineStr">
        <is>
          <t>Аренда, ₽</t>
        </is>
      </c>
    </row>
    <row r="6">
      <c r="A6" s="10" t="inlineStr">
        <is>
          <t>Роботы</t>
        </is>
      </c>
      <c r="B6" s="9" t="inlineStr">
        <is>
          <t>разово</t>
        </is>
      </c>
      <c r="C6" s="18" t="n">
        <v>24300000</v>
      </c>
      <c r="D6" s="18" t="n">
        <v>0</v>
      </c>
    </row>
    <row r="7">
      <c r="A7" s="10" t="inlineStr">
        <is>
          <t>Зарядные станции</t>
        </is>
      </c>
      <c r="B7" s="9" t="inlineStr">
        <is>
          <t>разово</t>
        </is>
      </c>
      <c r="C7" s="18" t="n">
        <v>1350000</v>
      </c>
      <c r="D7" s="18" t="n">
        <v>0</v>
      </c>
    </row>
    <row r="8">
      <c r="A8" s="10" t="inlineStr">
        <is>
          <t>ПО управления парком</t>
        </is>
      </c>
      <c r="B8" s="9" t="inlineStr">
        <is>
          <t>разово</t>
        </is>
      </c>
      <c r="C8" s="18" t="n">
        <v>1500000</v>
      </c>
      <c r="D8" s="18" t="n">
        <v>0</v>
      </c>
    </row>
    <row r="9">
      <c r="A9" s="10" t="inlineStr">
        <is>
          <t>Станции комплектации</t>
        </is>
      </c>
      <c r="B9" s="9" t="inlineStr">
        <is>
          <t>разово</t>
        </is>
      </c>
      <c r="C9" s="18" t="n">
        <v>0</v>
      </c>
      <c r="D9" s="18" t="n">
        <v>0</v>
      </c>
    </row>
    <row r="10">
      <c r="A10" s="10" t="inlineStr">
        <is>
          <t>Интеграция с WMS</t>
        </is>
      </c>
      <c r="B10" s="9" t="inlineStr">
        <is>
          <t>разово</t>
        </is>
      </c>
      <c r="C10" s="18" t="n">
        <v>5000000</v>
      </c>
      <c r="D10" s="18" t="n">
        <v>5000000</v>
      </c>
    </row>
    <row r="11">
      <c r="A11" s="10" t="inlineStr">
        <is>
          <t>Инфраструктура</t>
        </is>
      </c>
      <c r="B11" s="9" t="inlineStr">
        <is>
          <t>разово</t>
        </is>
      </c>
      <c r="C11" s="18" t="n">
        <v>3000000</v>
      </c>
      <c r="D11" s="18" t="n">
        <v>3000000</v>
      </c>
    </row>
    <row r="12">
      <c r="A12" s="10" t="inlineStr">
        <is>
          <t>Пусконаладка</t>
        </is>
      </c>
      <c r="B12" s="9" t="inlineStr">
        <is>
          <t>разово</t>
        </is>
      </c>
      <c r="C12" s="18" t="n">
        <v>2430000</v>
      </c>
      <c r="D12" s="18" t="n">
        <v>2430000</v>
      </c>
    </row>
    <row r="13">
      <c r="A13" s="10" t="inlineStr">
        <is>
          <t>Переобучение операторов</t>
        </is>
      </c>
      <c r="B13" s="9" t="inlineStr">
        <is>
          <t>разово</t>
        </is>
      </c>
      <c r="C13" s="18" t="n">
        <v>50900.1014198783</v>
      </c>
      <c r="D13" s="18" t="n">
        <v>50900.1014198783</v>
      </c>
    </row>
    <row r="14">
      <c r="A14" s="10" t="inlineStr">
        <is>
          <t>Резерв</t>
        </is>
      </c>
      <c r="B14" s="9" t="inlineStr">
        <is>
          <t>разово</t>
        </is>
      </c>
      <c r="C14" s="18" t="n">
        <v>3763090.010141988</v>
      </c>
      <c r="D14" s="18" t="n">
        <v>1048090.010141988</v>
      </c>
    </row>
    <row r="15">
      <c r="A15" s="10" t="inlineStr">
        <is>
          <t>Электроэнергия</t>
        </is>
      </c>
      <c r="B15" s="9" t="inlineStr">
        <is>
          <t>1 год</t>
        </is>
      </c>
      <c r="C15" s="18" t="n">
        <v>468309.6</v>
      </c>
      <c r="D15" s="18" t="n">
        <v>468309.6</v>
      </c>
    </row>
    <row r="16">
      <c r="A16" s="10" t="inlineStr">
        <is>
          <t>Связь</t>
        </is>
      </c>
      <c r="B16" s="9" t="inlineStr">
        <is>
          <t>1 год</t>
        </is>
      </c>
      <c r="C16" s="18" t="n">
        <v>300000</v>
      </c>
      <c r="D16" s="18" t="n">
        <v>300000</v>
      </c>
    </row>
    <row r="17">
      <c r="A17" s="10" t="inlineStr">
        <is>
          <t>Операторы роботов</t>
        </is>
      </c>
      <c r="B17" s="9" t="inlineStr">
        <is>
          <t>1 год</t>
        </is>
      </c>
      <c r="C17" s="18" t="n">
        <v>9572476.673427992</v>
      </c>
      <c r="D17" s="18" t="n">
        <v>9572476.673427992</v>
      </c>
    </row>
    <row r="18">
      <c r="A18" s="10" t="inlineStr">
        <is>
          <t>ТО и ремонт</t>
        </is>
      </c>
      <c r="B18" s="9" t="inlineStr">
        <is>
          <t>1 год</t>
        </is>
      </c>
      <c r="C18" s="18" t="n">
        <v>2430000</v>
      </c>
      <c r="D18" s="18" t="n">
        <v>0</v>
      </c>
    </row>
    <row r="19">
      <c r="A19" s="10" t="inlineStr">
        <is>
          <t>Лицензии ПО</t>
        </is>
      </c>
      <c r="B19" s="9" t="inlineStr">
        <is>
          <t>1 год</t>
        </is>
      </c>
      <c r="C19" s="18" t="n">
        <v>540000</v>
      </c>
      <c r="D19" s="18" t="n">
        <v>0</v>
      </c>
    </row>
    <row r="20">
      <c r="A20" s="10" t="inlineStr">
        <is>
          <t>Расходники: замена АКБ</t>
        </is>
      </c>
      <c r="B20" s="9" t="inlineStr">
        <is>
          <t>1 год</t>
        </is>
      </c>
      <c r="C20" s="18" t="n">
        <v>0</v>
      </c>
      <c r="D20" s="18" t="n">
        <v>0</v>
      </c>
    </row>
    <row r="21">
      <c r="A21" s="10" t="inlineStr">
        <is>
          <t>Плата за аренду</t>
        </is>
      </c>
      <c r="B21" s="9" t="inlineStr">
        <is>
          <t>1 год</t>
        </is>
      </c>
      <c r="C21" s="18" t="n">
        <v>0</v>
      </c>
      <c r="D21" s="18" t="n">
        <v>10800000</v>
      </c>
    </row>
    <row r="22">
      <c r="A22" s="10" t="inlineStr">
        <is>
          <t>Ответственность за порчу</t>
        </is>
      </c>
      <c r="B22" s="9" t="inlineStr">
        <is>
          <t>1 год</t>
        </is>
      </c>
      <c r="C22" s="18" t="n">
        <v>0</v>
      </c>
      <c r="D22" s="18" t="n">
        <v>243000</v>
      </c>
    </row>
    <row r="23">
      <c r="A23" s="10" t="inlineStr">
        <is>
          <t>Электроэнергия</t>
        </is>
      </c>
      <c r="B23" s="9" t="inlineStr">
        <is>
          <t>2 год</t>
        </is>
      </c>
      <c r="C23" s="18" t="n">
        <v>510457.464</v>
      </c>
      <c r="D23" s="18" t="n">
        <v>510457.464</v>
      </c>
    </row>
    <row r="24">
      <c r="A24" s="10" t="inlineStr">
        <is>
          <t>Связь</t>
        </is>
      </c>
      <c r="B24" s="9" t="inlineStr">
        <is>
          <t>2 год</t>
        </is>
      </c>
      <c r="C24" s="18" t="n">
        <v>312000</v>
      </c>
      <c r="D24" s="18" t="n">
        <v>312000</v>
      </c>
    </row>
    <row r="25">
      <c r="A25" s="10" t="inlineStr">
        <is>
          <t>Операторы роботов</t>
        </is>
      </c>
      <c r="B25" s="9" t="inlineStr">
        <is>
          <t>2 год</t>
        </is>
      </c>
      <c r="C25" s="18" t="n">
        <v>10242550.04056795</v>
      </c>
      <c r="D25" s="18" t="n">
        <v>10242550.04056795</v>
      </c>
    </row>
    <row r="26">
      <c r="A26" s="10" t="inlineStr">
        <is>
          <t>ТО и ремонт</t>
        </is>
      </c>
      <c r="B26" s="9" t="inlineStr">
        <is>
          <t>2 год</t>
        </is>
      </c>
      <c r="C26" s="18" t="n">
        <v>2527200</v>
      </c>
      <c r="D26" s="18" t="n">
        <v>0</v>
      </c>
    </row>
    <row r="27">
      <c r="A27" s="10" t="inlineStr">
        <is>
          <t>Лицензии ПО</t>
        </is>
      </c>
      <c r="B27" s="9" t="inlineStr">
        <is>
          <t>2 год</t>
        </is>
      </c>
      <c r="C27" s="18" t="n">
        <v>561600</v>
      </c>
      <c r="D27" s="18" t="n">
        <v>0</v>
      </c>
    </row>
    <row r="28">
      <c r="A28" s="10" t="inlineStr">
        <is>
          <t>Расходники: замена АКБ</t>
        </is>
      </c>
      <c r="B28" s="9" t="inlineStr">
        <is>
          <t>2 год</t>
        </is>
      </c>
      <c r="C28" s="18" t="n">
        <v>0</v>
      </c>
      <c r="D28" s="18" t="n">
        <v>0</v>
      </c>
    </row>
    <row r="29">
      <c r="A29" s="10" t="inlineStr">
        <is>
          <t>Плата за аренду</t>
        </is>
      </c>
      <c r="B29" s="9" t="inlineStr">
        <is>
          <t>2 год</t>
        </is>
      </c>
      <c r="C29" s="18" t="n">
        <v>0</v>
      </c>
      <c r="D29" s="18" t="n">
        <v>10800000</v>
      </c>
    </row>
    <row r="30">
      <c r="A30" s="10" t="inlineStr">
        <is>
          <t>Ответственность за порчу</t>
        </is>
      </c>
      <c r="B30" s="9" t="inlineStr">
        <is>
          <t>2 год</t>
        </is>
      </c>
      <c r="C30" s="18" t="n">
        <v>0</v>
      </c>
      <c r="D30" s="18" t="n">
        <v>252720</v>
      </c>
    </row>
    <row r="31">
      <c r="A31" s="10" t="inlineStr">
        <is>
          <t>Электроэнергия</t>
        </is>
      </c>
      <c r="B31" s="9" t="inlineStr">
        <is>
          <t>3 год</t>
        </is>
      </c>
      <c r="C31" s="18" t="n">
        <v>556398.6357600001</v>
      </c>
      <c r="D31" s="18" t="n">
        <v>556398.6357600001</v>
      </c>
    </row>
    <row r="32">
      <c r="A32" s="10" t="inlineStr">
        <is>
          <t>Связь</t>
        </is>
      </c>
      <c r="B32" s="9" t="inlineStr">
        <is>
          <t>3 год</t>
        </is>
      </c>
      <c r="C32" s="18" t="n">
        <v>324480.0000000001</v>
      </c>
      <c r="D32" s="18" t="n">
        <v>324480.0000000001</v>
      </c>
    </row>
    <row r="33">
      <c r="A33" s="10" t="inlineStr">
        <is>
          <t>Операторы роботов</t>
        </is>
      </c>
      <c r="B33" s="9" t="inlineStr">
        <is>
          <t>3 год</t>
        </is>
      </c>
      <c r="C33" s="18" t="n">
        <v>10959528.54340771</v>
      </c>
      <c r="D33" s="18" t="n">
        <v>10959528.54340771</v>
      </c>
    </row>
    <row r="34">
      <c r="A34" s="10" t="inlineStr">
        <is>
          <t>ТО и ремонт</t>
        </is>
      </c>
      <c r="B34" s="9" t="inlineStr">
        <is>
          <t>3 год</t>
        </is>
      </c>
      <c r="C34" s="18" t="n">
        <v>2628288</v>
      </c>
      <c r="D34" s="18" t="n">
        <v>0</v>
      </c>
    </row>
    <row r="35">
      <c r="A35" s="10" t="inlineStr">
        <is>
          <t>Лицензии ПО</t>
        </is>
      </c>
      <c r="B35" s="9" t="inlineStr">
        <is>
          <t>3 год</t>
        </is>
      </c>
      <c r="C35" s="18" t="n">
        <v>584064.0000000001</v>
      </c>
      <c r="D35" s="18" t="n">
        <v>0</v>
      </c>
    </row>
    <row r="36">
      <c r="A36" s="10" t="inlineStr">
        <is>
          <t>Расходники: замена АКБ</t>
        </is>
      </c>
      <c r="B36" s="9" t="inlineStr">
        <is>
          <t>3 год</t>
        </is>
      </c>
      <c r="C36" s="18" t="n">
        <v>1538035.2</v>
      </c>
      <c r="D36" s="18" t="n">
        <v>0</v>
      </c>
    </row>
    <row r="37">
      <c r="A37" s="10" t="inlineStr">
        <is>
          <t>Плата за аренду</t>
        </is>
      </c>
      <c r="B37" s="9" t="inlineStr">
        <is>
          <t>3 год</t>
        </is>
      </c>
      <c r="C37" s="18" t="n">
        <v>0</v>
      </c>
      <c r="D37" s="18" t="n">
        <v>10800000</v>
      </c>
    </row>
    <row r="38">
      <c r="A38" s="10" t="inlineStr">
        <is>
          <t>Ответственность за порчу</t>
        </is>
      </c>
      <c r="B38" s="9" t="inlineStr">
        <is>
          <t>3 год</t>
        </is>
      </c>
      <c r="C38" s="18" t="n">
        <v>0</v>
      </c>
      <c r="D38" s="18" t="n">
        <v>262828.8</v>
      </c>
    </row>
    <row r="39">
      <c r="A39" s="10" t="inlineStr">
        <is>
          <t>Электроэнергия</t>
        </is>
      </c>
      <c r="B39" s="9" t="inlineStr">
        <is>
          <t>4 год</t>
        </is>
      </c>
      <c r="C39" s="18" t="n">
        <v>606474.5129784001</v>
      </c>
      <c r="D39" s="18" t="n">
        <v>606474.5129784001</v>
      </c>
    </row>
    <row r="40">
      <c r="A40" s="10" t="inlineStr">
        <is>
          <t>Связь</t>
        </is>
      </c>
      <c r="B40" s="9" t="inlineStr">
        <is>
          <t>4 год</t>
        </is>
      </c>
      <c r="C40" s="18" t="n">
        <v>337459.2</v>
      </c>
      <c r="D40" s="18" t="n">
        <v>337459.2</v>
      </c>
    </row>
    <row r="41">
      <c r="A41" s="10" t="inlineStr">
        <is>
          <t>Операторы роботов</t>
        </is>
      </c>
      <c r="B41" s="9" t="inlineStr">
        <is>
          <t>4 год</t>
        </is>
      </c>
      <c r="C41" s="18" t="n">
        <v>11726695.54144625</v>
      </c>
      <c r="D41" s="18" t="n">
        <v>11726695.54144625</v>
      </c>
    </row>
    <row r="42">
      <c r="A42" s="10" t="inlineStr">
        <is>
          <t>ТО и ремонт</t>
        </is>
      </c>
      <c r="B42" s="9" t="inlineStr">
        <is>
          <t>4 год</t>
        </is>
      </c>
      <c r="C42" s="18" t="n">
        <v>2733419.52</v>
      </c>
      <c r="D42" s="18" t="n">
        <v>2733419.52</v>
      </c>
    </row>
    <row r="43">
      <c r="A43" s="10" t="inlineStr">
        <is>
          <t>Лицензии ПО</t>
        </is>
      </c>
      <c r="B43" s="9" t="inlineStr">
        <is>
          <t>4 год</t>
        </is>
      </c>
      <c r="C43" s="18" t="n">
        <v>607426.5600000001</v>
      </c>
      <c r="D43" s="18" t="n">
        <v>607426.5600000001</v>
      </c>
    </row>
    <row r="44">
      <c r="A44" s="10" t="inlineStr">
        <is>
          <t>Расходники: замена АКБ</t>
        </is>
      </c>
      <c r="B44" s="9" t="inlineStr">
        <is>
          <t>4 год</t>
        </is>
      </c>
      <c r="C44" s="18" t="n">
        <v>0</v>
      </c>
      <c r="D44" s="18" t="n">
        <v>0</v>
      </c>
    </row>
    <row r="45">
      <c r="A45" s="10" t="inlineStr">
        <is>
          <t>Электроэнергия</t>
        </is>
      </c>
      <c r="B45" s="9" t="inlineStr">
        <is>
          <t>5 год</t>
        </is>
      </c>
      <c r="C45" s="18" t="n">
        <v>661057.2191464562</v>
      </c>
      <c r="D45" s="18" t="n">
        <v>661057.2191464562</v>
      </c>
    </row>
    <row r="46">
      <c r="A46" s="10" t="inlineStr">
        <is>
          <t>Связь</t>
        </is>
      </c>
      <c r="B46" s="9" t="inlineStr">
        <is>
          <t>5 год</t>
        </is>
      </c>
      <c r="C46" s="18" t="n">
        <v>350957.5680000001</v>
      </c>
      <c r="D46" s="18" t="n">
        <v>350957.5680000001</v>
      </c>
    </row>
    <row r="47">
      <c r="A47" s="10" t="inlineStr">
        <is>
          <t>Операторы роботов</t>
        </is>
      </c>
      <c r="B47" s="9" t="inlineStr">
        <is>
          <t>5 год</t>
        </is>
      </c>
      <c r="C47" s="18" t="n">
        <v>12547564.22934749</v>
      </c>
      <c r="D47" s="18" t="n">
        <v>12547564.22934749</v>
      </c>
    </row>
    <row r="48">
      <c r="A48" s="10" t="inlineStr">
        <is>
          <t>ТО и ремонт</t>
        </is>
      </c>
      <c r="B48" s="9" t="inlineStr">
        <is>
          <t>5 год</t>
        </is>
      </c>
      <c r="C48" s="18" t="n">
        <v>2842756.3008</v>
      </c>
      <c r="D48" s="18" t="n">
        <v>2842756.3008</v>
      </c>
    </row>
    <row r="49">
      <c r="A49" s="10" t="inlineStr">
        <is>
          <t>Лицензии ПО</t>
        </is>
      </c>
      <c r="B49" s="9" t="inlineStr">
        <is>
          <t>5 год</t>
        </is>
      </c>
      <c r="C49" s="18" t="n">
        <v>631723.6224000001</v>
      </c>
      <c r="D49" s="18" t="n">
        <v>631723.6224000001</v>
      </c>
    </row>
    <row r="50">
      <c r="A50" s="10" t="inlineStr">
        <is>
          <t>Расходники: замена АКБ</t>
        </is>
      </c>
      <c r="B50" s="9" t="inlineStr">
        <is>
          <t>5 год</t>
        </is>
      </c>
      <c r="C50" s="18" t="n">
        <v>0</v>
      </c>
      <c r="D50" s="18" t="n">
        <v>0</v>
      </c>
    </row>
  </sheetData>
  <pageMargins left="0.75" right="0.75" top="1" bottom="1" header="0.5" footer="0.5"/>
  <pageSetup orientation="portrait" paperSize="9" fitToHeight="0" fitToWidth="1"/>
  <headerFooter>
    <oddHeader/>
    <oddFooter>&amp;LРасклад · предварительная оценка&amp;RЛист &amp;P из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72"/>
  <sheetViews>
    <sheetView showGridLines="0" workbookViewId="0">
      <pane xSplit="1" ySplit="34" topLeftCell="B35" activePane="bottomRight" state="frozen"/>
      <selection pane="topRight"/>
      <selection pane="bottomLeft"/>
      <selection pane="bottomRight"/>
      <selection pane="bottomLeft"/>
      <selection pane="bottomRight" activeCell="A1" sqref="A1"/>
    </sheetView>
  </sheetViews>
  <sheetFormatPr baseColWidth="8" defaultRowHeight="15"/>
  <cols>
    <col width="26" customWidth="1" min="1" max="1"/>
    <col width="12" customWidth="1" min="2" max="2"/>
    <col width="10" customWidth="1" min="3" max="3"/>
    <col width="18" customWidth="1" min="4" max="4"/>
    <col width="18" customWidth="1" min="5" max="5"/>
    <col width="18" customWidth="1" min="6" max="6"/>
    <col width="18" customWidth="1" min="7" max="7"/>
    <col width="60" customWidth="1" min="8" max="8"/>
  </cols>
  <sheetData>
    <row r="1" ht="22" customHeight="1">
      <c r="A1" s="1" t="inlineStr">
        <is>
          <t>Что будет, если</t>
        </is>
      </c>
    </row>
    <row r="2">
      <c r="A2" s="2" t="inlineStr">
        <is>
          <t>Склад, перевозка паллет между зонами · Ronavi H1500 (грузоподъемность до 1 500 кг) · расчет от 28.09.2026 22:10 мск · модель 0.2</t>
        </is>
      </c>
    </row>
    <row r="3">
      <c r="A3" s="3" t="inlineStr">
        <is>
          <t>Предварительная оценка, не коммерческое предложение</t>
        </is>
      </c>
    </row>
    <row r="4">
      <c r="A4" s="2" t="inlineStr">
        <is>
          <t>Одно число сдвигаем, остальные как в расчете. При сдвиге объема парк растет вместе со спросом</t>
        </is>
      </c>
    </row>
    <row r="5">
      <c r="A5" s="4" t="inlineStr">
        <is>
          <t>Параметр</t>
        </is>
      </c>
      <c r="B5" s="5" t="inlineStr">
        <is>
          <t>Сдвиг</t>
        </is>
      </c>
      <c r="C5" s="5" t="inlineStr">
        <is>
          <t>Роботов</t>
        </is>
      </c>
      <c r="D5" s="5" t="inlineStr">
        <is>
          <t>Покупка: окупаемость, лет</t>
        </is>
      </c>
      <c r="E5" s="5" t="inlineStr">
        <is>
          <t>Покупка: владение за 5 лет, ₽</t>
        </is>
      </c>
      <c r="F5" s="5" t="inlineStr">
        <is>
          <t>Аренда: окупаемость, лет</t>
        </is>
      </c>
      <c r="G5" s="5" t="inlineStr">
        <is>
          <t>Аренда: владение за 5 лет, ₽</t>
        </is>
      </c>
      <c r="H5" s="5" t="inlineStr">
        <is>
          <t>Что меняется</t>
        </is>
      </c>
    </row>
    <row r="6">
      <c r="A6" s="10" t="inlineStr">
        <is>
          <t>Зарплаты</t>
        </is>
      </c>
      <c r="B6" s="10" t="inlineStr">
        <is>
          <t>-20%</t>
        </is>
      </c>
      <c r="C6" s="21" t="n">
        <v>9</v>
      </c>
      <c r="D6" s="22" t="n">
        <v>1.687054000682346</v>
      </c>
      <c r="E6" s="18" t="n">
        <v>108378453.5372046</v>
      </c>
      <c r="F6" s="22" t="n">
        <v>0.7501181761234897</v>
      </c>
      <c r="G6" s="18" t="n">
        <v>110582815.1372046</v>
      </c>
      <c r="H6" s="9" t="inlineStr">
        <is>
          <t>оклады всех ролей в штате. Дороже люди на операции без роботов и операторы роботов с ними: окупаемость лучше</t>
        </is>
      </c>
    </row>
    <row r="7">
      <c r="A7" s="10" t="inlineStr">
        <is>
          <t>Зарплаты</t>
        </is>
      </c>
      <c r="B7" s="10" t="inlineStr">
        <is>
          <t>-10%</t>
        </is>
      </c>
      <c r="C7" s="21" t="n">
        <v>9</v>
      </c>
      <c r="D7" s="22" t="n">
        <v>1.487026022262913</v>
      </c>
      <c r="E7" s="18" t="n">
        <v>113994998.0400244</v>
      </c>
      <c r="F7" s="22" t="n">
        <v>0.6143167783052149</v>
      </c>
      <c r="G7" s="18" t="n">
        <v>116199359.6400244</v>
      </c>
      <c r="H7" s="9" t="inlineStr"/>
    </row>
    <row r="8">
      <c r="A8" s="7" t="inlineStr">
        <is>
          <t>Зарплаты</t>
        </is>
      </c>
      <c r="B8" s="7" t="inlineStr">
        <is>
          <t>как сейчас</t>
        </is>
      </c>
      <c r="C8" s="23" t="n">
        <v>9</v>
      </c>
      <c r="D8" s="24" t="n">
        <v>1.331655295008924</v>
      </c>
      <c r="E8" s="25" t="n">
        <v>119611542.5428441</v>
      </c>
      <c r="F8" s="24" t="n">
        <v>0.5201490009460576</v>
      </c>
      <c r="G8" s="25" t="n">
        <v>121815904.1428441</v>
      </c>
      <c r="H8" s="9" t="inlineStr"/>
    </row>
    <row r="9">
      <c r="A9" s="10" t="inlineStr">
        <is>
          <t>Зарплаты</t>
        </is>
      </c>
      <c r="B9" s="10" t="inlineStr">
        <is>
          <t>+10%</t>
        </is>
      </c>
      <c r="C9" s="21" t="n">
        <v>9</v>
      </c>
      <c r="D9" s="22" t="n">
        <v>1.207488631254087</v>
      </c>
      <c r="E9" s="18" t="n">
        <v>125228087.0456638</v>
      </c>
      <c r="F9" s="22" t="n">
        <v>0.4510137249219461</v>
      </c>
      <c r="G9" s="18" t="n">
        <v>127432448.6456639</v>
      </c>
      <c r="H9" s="9" t="inlineStr"/>
    </row>
    <row r="10">
      <c r="A10" s="10" t="inlineStr">
        <is>
          <t>Зарплаты</t>
        </is>
      </c>
      <c r="B10" s="10" t="inlineStr">
        <is>
          <t>+20%</t>
        </is>
      </c>
      <c r="C10" s="21" t="n">
        <v>9</v>
      </c>
      <c r="D10" s="22" t="n">
        <v>1.105983498393789</v>
      </c>
      <c r="E10" s="18" t="n">
        <v>130844631.5484836</v>
      </c>
      <c r="F10" s="22" t="n">
        <v>0.3981004543974724</v>
      </c>
      <c r="G10" s="18" t="n">
        <v>133048993.1484836</v>
      </c>
      <c r="H10" s="9" t="inlineStr"/>
    </row>
    <row r="11">
      <c r="A11" s="10" t="inlineStr">
        <is>
          <t>Цена робота</t>
        </is>
      </c>
      <c r="B11" s="10" t="inlineStr">
        <is>
          <t>-20%</t>
        </is>
      </c>
      <c r="C11" s="21" t="n">
        <v>9</v>
      </c>
      <c r="D11" s="22" t="n">
        <v>1.140279142575363</v>
      </c>
      <c r="E11" s="18" t="n">
        <v>111098609.7786841</v>
      </c>
      <c r="F11" s="22" t="n">
        <v>0.4949444104011133</v>
      </c>
      <c r="G11" s="18" t="n">
        <v>118070359.2186841</v>
      </c>
      <c r="H11" s="9" t="inlineStr">
        <is>
          <t>2 700 000 ₽ за робота. С ценой меняются вложения, пусконаладка, ТО, выкуп после аренды и ответственность за порчу</t>
        </is>
      </c>
    </row>
    <row r="12">
      <c r="A12" s="10" t="inlineStr">
        <is>
          <t>Цена робота</t>
        </is>
      </c>
      <c r="B12" s="10" t="inlineStr">
        <is>
          <t>-10%</t>
        </is>
      </c>
      <c r="C12" s="21" t="n">
        <v>9</v>
      </c>
      <c r="D12" s="22" t="n">
        <v>1.235253680641768</v>
      </c>
      <c r="E12" s="18" t="n">
        <v>115355076.1607641</v>
      </c>
      <c r="F12" s="22" t="n">
        <v>0.5075329044829237</v>
      </c>
      <c r="G12" s="18" t="n">
        <v>119943131.6807641</v>
      </c>
      <c r="H12" s="9" t="inlineStr"/>
    </row>
    <row r="13">
      <c r="A13" s="7" t="inlineStr">
        <is>
          <t>Цена робота</t>
        </is>
      </c>
      <c r="B13" s="7" t="inlineStr">
        <is>
          <t>как сейчас</t>
        </is>
      </c>
      <c r="C13" s="23" t="n">
        <v>9</v>
      </c>
      <c r="D13" s="24" t="n">
        <v>1.331655295008924</v>
      </c>
      <c r="E13" s="25" t="n">
        <v>119611542.5428441</v>
      </c>
      <c r="F13" s="24" t="n">
        <v>0.5201490009460576</v>
      </c>
      <c r="G13" s="25" t="n">
        <v>121815904.1428441</v>
      </c>
      <c r="H13" s="9" t="inlineStr"/>
    </row>
    <row r="14">
      <c r="A14" s="10" t="inlineStr">
        <is>
          <t>Цена робота</t>
        </is>
      </c>
      <c r="B14" s="10" t="inlineStr">
        <is>
          <t>+10%</t>
        </is>
      </c>
      <c r="C14" s="21" t="n">
        <v>9</v>
      </c>
      <c r="D14" s="22" t="n">
        <v>1.429516393779384</v>
      </c>
      <c r="E14" s="18" t="n">
        <v>123868008.9249241</v>
      </c>
      <c r="F14" s="22" t="n">
        <v>0.5327927906744193</v>
      </c>
      <c r="G14" s="18" t="n">
        <v>123688676.6049241</v>
      </c>
      <c r="H14" s="9" t="inlineStr"/>
    </row>
    <row r="15">
      <c r="A15" s="10" t="inlineStr">
        <is>
          <t>Цена робота</t>
        </is>
      </c>
      <c r="B15" s="10" t="inlineStr">
        <is>
          <t>+20%</t>
        </is>
      </c>
      <c r="C15" s="21" t="n">
        <v>9</v>
      </c>
      <c r="D15" s="22" t="n">
        <v>1.528870373833684</v>
      </c>
      <c r="E15" s="18" t="n">
        <v>128124475.3070041</v>
      </c>
      <c r="F15" s="22" t="n">
        <v>0.5454643649513449</v>
      </c>
      <c r="G15" s="18" t="n">
        <v>125561449.0670041</v>
      </c>
      <c r="H15" s="9" t="inlineStr"/>
    </row>
    <row r="16">
      <c r="A16" s="10" t="inlineStr">
        <is>
          <t>Объем задачи</t>
        </is>
      </c>
      <c r="B16" s="10" t="inlineStr">
        <is>
          <t>-20%</t>
        </is>
      </c>
      <c r="C16" s="21" t="n">
        <v>8</v>
      </c>
      <c r="D16" s="22" t="n">
        <v>1.206010868562324</v>
      </c>
      <c r="E16" s="18" t="n">
        <v>113579852.4722791</v>
      </c>
      <c r="F16" s="22" t="n">
        <v>0.479102424823504</v>
      </c>
      <c r="G16" s="18" t="n">
        <v>115685951.6722791</v>
      </c>
      <c r="H16" s="9" t="inlineStr">
        <is>
          <t>2 000 операций в сутки. Больше работы, больше роботов. Людей на операции столько, сколько в штате: штат вы ввели сами, и от объема он не меняется</t>
        </is>
      </c>
    </row>
    <row r="17">
      <c r="A17" s="10" t="inlineStr">
        <is>
          <t>Объем задачи</t>
        </is>
      </c>
      <c r="B17" s="10" t="inlineStr">
        <is>
          <t>-10%</t>
        </is>
      </c>
      <c r="C17" s="21" t="n">
        <v>9</v>
      </c>
      <c r="D17" s="22" t="n">
        <v>1.331655295008924</v>
      </c>
      <c r="E17" s="18" t="n">
        <v>119611542.5428441</v>
      </c>
      <c r="F17" s="22" t="n">
        <v>0.5201490009460576</v>
      </c>
      <c r="G17" s="18" t="n">
        <v>121815904.1428441</v>
      </c>
      <c r="H17" s="9" t="inlineStr"/>
    </row>
    <row r="18">
      <c r="A18" s="7" t="inlineStr">
        <is>
          <t>Объем задачи</t>
        </is>
      </c>
      <c r="B18" s="7" t="inlineStr">
        <is>
          <t>как сейчас</t>
        </is>
      </c>
      <c r="C18" s="23" t="n">
        <v>9</v>
      </c>
      <c r="D18" s="24" t="n">
        <v>1.331655295008924</v>
      </c>
      <c r="E18" s="25" t="n">
        <v>119611542.5428441</v>
      </c>
      <c r="F18" s="24" t="n">
        <v>0.5201490009460576</v>
      </c>
      <c r="G18" s="25" t="n">
        <v>121815904.1428441</v>
      </c>
      <c r="H18" s="9" t="inlineStr"/>
    </row>
    <row r="19">
      <c r="A19" s="10" t="inlineStr">
        <is>
          <t>Объем задачи</t>
        </is>
      </c>
      <c r="B19" s="10" t="inlineStr">
        <is>
          <t>+10%</t>
        </is>
      </c>
      <c r="C19" s="21" t="n">
        <v>10</v>
      </c>
      <c r="D19" s="22" t="n">
        <v>1.445430634016732</v>
      </c>
      <c r="E19" s="18" t="n">
        <v>125148232.6134091</v>
      </c>
      <c r="F19" s="22" t="n">
        <v>0.5662229267741038</v>
      </c>
      <c r="G19" s="18" t="n">
        <v>127945856.6134091</v>
      </c>
      <c r="H19" s="9" t="inlineStr"/>
    </row>
    <row r="20">
      <c r="A20" s="10" t="inlineStr">
        <is>
          <t>Объем задачи</t>
        </is>
      </c>
      <c r="B20" s="10" t="inlineStr">
        <is>
          <t>+20%</t>
        </is>
      </c>
      <c r="C20" s="21" t="n">
        <v>11</v>
      </c>
      <c r="D20" s="22" t="n">
        <v>1.561977188100151</v>
      </c>
      <c r="E20" s="18" t="n">
        <v>130684922.6839741</v>
      </c>
      <c r="F20" s="22" t="n">
        <v>0.6183080723600555</v>
      </c>
      <c r="G20" s="18" t="n">
        <v>134075809.0839741</v>
      </c>
      <c r="H20" s="9" t="inlineStr"/>
    </row>
    <row r="21">
      <c r="A21" s="10" t="inlineStr">
        <is>
          <t>Плата за аренду</t>
        </is>
      </c>
      <c r="B21" s="10" t="inlineStr">
        <is>
          <t>-20%</t>
        </is>
      </c>
      <c r="C21" s="21" t="n">
        <v>9</v>
      </c>
      <c r="D21" s="22" t="n">
        <v>1.331655295008924</v>
      </c>
      <c r="E21" s="18" t="n">
        <v>119611542.5428441</v>
      </c>
      <c r="F21" s="22" t="n">
        <v>0.473960642000191</v>
      </c>
      <c r="G21" s="18" t="n">
        <v>115335904.1428441</v>
      </c>
      <c r="H21" s="9" t="inlineStr">
        <is>
          <t>100 000 ₽ в месяц за робота. Меняет только аренду: покупка от нее не зависит</t>
        </is>
      </c>
    </row>
    <row r="22">
      <c r="A22" s="10" t="inlineStr">
        <is>
          <t>Плата за аренду</t>
        </is>
      </c>
      <c r="B22" s="10" t="inlineStr">
        <is>
          <t>-10%</t>
        </is>
      </c>
      <c r="C22" s="21" t="n">
        <v>9</v>
      </c>
      <c r="D22" s="22" t="n">
        <v>1.331655295008924</v>
      </c>
      <c r="E22" s="18" t="n">
        <v>119611542.5428441</v>
      </c>
      <c r="F22" s="22" t="n">
        <v>0.4959818188535191</v>
      </c>
      <c r="G22" s="18" t="n">
        <v>118575904.1428441</v>
      </c>
      <c r="H22" s="9" t="inlineStr"/>
    </row>
    <row r="23">
      <c r="A23" s="7" t="inlineStr">
        <is>
          <t>Плата за аренду</t>
        </is>
      </c>
      <c r="B23" s="7" t="inlineStr">
        <is>
          <t>как сейчас</t>
        </is>
      </c>
      <c r="C23" s="23" t="n">
        <v>9</v>
      </c>
      <c r="D23" s="24" t="n">
        <v>1.331655295008924</v>
      </c>
      <c r="E23" s="25" t="n">
        <v>119611542.5428441</v>
      </c>
      <c r="F23" s="24" t="n">
        <v>0.5201490009460576</v>
      </c>
      <c r="G23" s="25" t="n">
        <v>121815904.1428441</v>
      </c>
      <c r="H23" s="9" t="inlineStr"/>
    </row>
    <row r="24">
      <c r="A24" s="10" t="inlineStr">
        <is>
          <t>Плата за аренду</t>
        </is>
      </c>
      <c r="B24" s="10" t="inlineStr">
        <is>
          <t>+10%</t>
        </is>
      </c>
      <c r="C24" s="21" t="n">
        <v>9</v>
      </c>
      <c r="D24" s="22" t="n">
        <v>1.331655295008924</v>
      </c>
      <c r="E24" s="18" t="n">
        <v>119611542.5428441</v>
      </c>
      <c r="F24" s="22" t="n">
        <v>0.5467919548556956</v>
      </c>
      <c r="G24" s="18" t="n">
        <v>125055904.1428441</v>
      </c>
      <c r="H24" s="9" t="inlineStr"/>
    </row>
    <row r="25">
      <c r="A25" s="10" t="inlineStr">
        <is>
          <t>Плата за аренду</t>
        </is>
      </c>
      <c r="B25" s="10" t="inlineStr">
        <is>
          <t>+20%</t>
        </is>
      </c>
      <c r="C25" s="21" t="n">
        <v>9</v>
      </c>
      <c r="D25" s="22" t="n">
        <v>1.331655295008924</v>
      </c>
      <c r="E25" s="18" t="n">
        <v>119611542.5428441</v>
      </c>
      <c r="F25" s="22" t="n">
        <v>0.5763116597080782</v>
      </c>
      <c r="G25" s="18" t="n">
        <v>128295904.1428441</v>
      </c>
      <c r="H25" s="9" t="inlineStr"/>
    </row>
    <row r="26">
      <c r="A26" s="10" t="inlineStr">
        <is>
          <t>Внедрение</t>
        </is>
      </c>
      <c r="B26" s="10" t="inlineStr">
        <is>
          <t>-20%</t>
        </is>
      </c>
      <c r="C26" s="21" t="n">
        <v>9</v>
      </c>
      <c r="D26" s="22" t="n">
        <v>1.279333448399752</v>
      </c>
      <c r="E26" s="18" t="n">
        <v>117851542.5428441</v>
      </c>
      <c r="F26" s="22" t="n">
        <v>0.4407437596537619</v>
      </c>
      <c r="G26" s="18" t="n">
        <v>120055904.1428441</v>
      </c>
      <c r="H26" s="9" t="inlineStr">
        <is>
          <t>интеграция и инфраструктура 8 000 000 ₽. Разовые затраты на старте: связь с учетной системой и переделка объекта. Цифр рынка нет, это оценка</t>
        </is>
      </c>
    </row>
    <row r="27">
      <c r="A27" s="10" t="inlineStr">
        <is>
          <t>Внедрение</t>
        </is>
      </c>
      <c r="B27" s="10" t="inlineStr">
        <is>
          <t>-10%</t>
        </is>
      </c>
      <c r="C27" s="21" t="n">
        <v>9</v>
      </c>
      <c r="D27" s="22" t="n">
        <v>1.305494371704338</v>
      </c>
      <c r="E27" s="18" t="n">
        <v>118731542.5428441</v>
      </c>
      <c r="F27" s="22" t="n">
        <v>0.4804463802999098</v>
      </c>
      <c r="G27" s="18" t="n">
        <v>120935904.1428441</v>
      </c>
      <c r="H27" s="9" t="inlineStr"/>
    </row>
    <row r="28">
      <c r="A28" s="7" t="inlineStr">
        <is>
          <t>Внедрение</t>
        </is>
      </c>
      <c r="B28" s="7" t="inlineStr">
        <is>
          <t>как сейчас</t>
        </is>
      </c>
      <c r="C28" s="23" t="n">
        <v>9</v>
      </c>
      <c r="D28" s="24" t="n">
        <v>1.331655295008924</v>
      </c>
      <c r="E28" s="25" t="n">
        <v>119611542.5428441</v>
      </c>
      <c r="F28" s="24" t="n">
        <v>0.5201490009460576</v>
      </c>
      <c r="G28" s="25" t="n">
        <v>121815904.1428441</v>
      </c>
      <c r="H28" s="9" t="inlineStr"/>
    </row>
    <row r="29">
      <c r="A29" s="10" t="inlineStr">
        <is>
          <t>Внедрение</t>
        </is>
      </c>
      <c r="B29" s="10" t="inlineStr">
        <is>
          <t>+10%</t>
        </is>
      </c>
      <c r="C29" s="21" t="n">
        <v>9</v>
      </c>
      <c r="D29" s="22" t="n">
        <v>1.35781621831351</v>
      </c>
      <c r="E29" s="18" t="n">
        <v>120491542.5428441</v>
      </c>
      <c r="F29" s="22" t="n">
        <v>0.5598516215922056</v>
      </c>
      <c r="G29" s="18" t="n">
        <v>122695904.1428441</v>
      </c>
      <c r="H29" s="9" t="inlineStr"/>
    </row>
    <row r="30">
      <c r="A30" s="10" t="inlineStr">
        <is>
          <t>Внедрение</t>
        </is>
      </c>
      <c r="B30" s="10" t="inlineStr">
        <is>
          <t>+20%</t>
        </is>
      </c>
      <c r="C30" s="21" t="n">
        <v>9</v>
      </c>
      <c r="D30" s="22" t="n">
        <v>1.383977141618096</v>
      </c>
      <c r="E30" s="18" t="n">
        <v>121371542.5428441</v>
      </c>
      <c r="F30" s="22" t="n">
        <v>0.5995542422383534</v>
      </c>
      <c r="G30" s="18" t="n">
        <v>123575904.1428441</v>
      </c>
      <c r="H30" s="9" t="inlineStr"/>
    </row>
    <row r="31"/>
    <row r="32">
      <c r="A32" s="16" t="inlineStr">
        <is>
          <t>Все числа по силе влияния</t>
        </is>
      </c>
    </row>
    <row r="33">
      <c r="A33" s="2" t="inlineStr">
        <is>
          <t>Каждое число по одному на -20% и +20%. Размах: насколько меняется выгода против работы без роботов</t>
        </is>
      </c>
    </row>
    <row r="34">
      <c r="A34" s="4" t="inlineStr">
        <is>
          <t>Число</t>
        </is>
      </c>
      <c r="B34" s="5" t="inlineStr">
        <is>
          <t>Сейчас</t>
        </is>
      </c>
      <c r="C34" s="5" t="inlineStr"/>
      <c r="D34" s="5" t="inlineStr">
        <is>
          <t>Покупка: размах выгоды за 5 лет, ₽</t>
        </is>
      </c>
      <c r="E34" s="5" t="inlineStr">
        <is>
          <t>Покупка: окупаемость при -20% и +20%</t>
        </is>
      </c>
      <c r="F34" s="5" t="inlineStr">
        <is>
          <t>Аренда: размах выгоды за 5 лет, ₽</t>
        </is>
      </c>
      <c r="G34" s="5" t="inlineStr">
        <is>
          <t>Аренда: окупаемость при -20% и +20%</t>
        </is>
      </c>
      <c r="H34" s="5" t="inlineStr">
        <is>
          <t>Путь в модели</t>
        </is>
      </c>
    </row>
    <row r="35">
      <c r="A35" s="10" t="inlineStr">
        <is>
          <t>Людей в штате, оператор погрузчика</t>
        </is>
      </c>
      <c r="B35" s="10" t="inlineStr">
        <is>
          <t>25 человек</t>
        </is>
      </c>
      <c r="C35" s="10" t="inlineStr"/>
      <c r="D35" s="18" t="n">
        <v>102296511.2117808</v>
      </c>
      <c r="E35" s="10" t="inlineStr">
        <is>
          <t>1,8 -&gt; 1,1</t>
        </is>
      </c>
      <c r="F35" s="18" t="n">
        <v>102296511.2117808</v>
      </c>
      <c r="G35" s="10" t="inlineStr">
        <is>
          <t>0,9 -&gt; 0,4</t>
        </is>
      </c>
      <c r="H35" s="9" t="inlineStr">
        <is>
          <t>facilities.warehouse.staff.forklift-operators.headcount</t>
        </is>
      </c>
    </row>
    <row r="36">
      <c r="A36" s="10" t="inlineStr">
        <is>
          <t>Оклад в месяц, оператор погрузчика</t>
        </is>
      </c>
      <c r="B36" s="10" t="inlineStr">
        <is>
          <t>120 000 ₽ в месяц</t>
        </is>
      </c>
      <c r="C36" s="10" t="inlineStr"/>
      <c r="D36" s="18" t="n">
        <v>80276985.20050184</v>
      </c>
      <c r="E36" s="10" t="inlineStr">
        <is>
          <t>1,7 -&gt; 1,1</t>
        </is>
      </c>
      <c r="F36" s="18" t="n">
        <v>80276985.20050187</v>
      </c>
      <c r="G36" s="10" t="inlineStr">
        <is>
          <t>0,8 -&gt; 0,4</t>
        </is>
      </c>
      <c r="H36" s="9" t="inlineStr">
        <is>
          <t>facilities.warehouse.staff.forklift-operators.salary_month</t>
        </is>
      </c>
    </row>
    <row r="37">
      <c r="A37" s="10" t="inlineStr">
        <is>
          <t>Доля работы, посильная роботам, перевозка паллет между зонами</t>
        </is>
      </c>
      <c r="B37" s="10" t="inlineStr">
        <is>
          <t>95%</t>
        </is>
      </c>
      <c r="C37" s="10" t="inlineStr"/>
      <c r="D37" s="18" t="n">
        <v>53039942.72946844</v>
      </c>
      <c r="E37" s="10" t="inlineStr">
        <is>
          <t>1,6 -&gt; 1,3</t>
        </is>
      </c>
      <c r="F37" s="18" t="n">
        <v>52348417.92946842</v>
      </c>
      <c r="G37" s="10" t="inlineStr">
        <is>
          <t>0,8 -&gt; 0,5</t>
        </is>
      </c>
      <c r="H37" s="9" t="inlineStr">
        <is>
          <t>facilities.warehouse.operations.pallet_transport.automatable_share</t>
        </is>
      </c>
    </row>
    <row r="38">
      <c r="A38" s="10" t="inlineStr">
        <is>
          <t>Рабочих часов в году на ставку</t>
        </is>
      </c>
      <c r="B38" s="10" t="inlineStr">
        <is>
          <t>1 972 ч в год</t>
        </is>
      </c>
      <c r="C38" s="10" t="inlineStr"/>
      <c r="D38" s="18" t="n">
        <v>22960335.47489962</v>
      </c>
      <c r="E38" s="10" t="inlineStr">
        <is>
          <t>1,4 -&gt; 1,3</t>
        </is>
      </c>
      <c r="F38" s="18" t="n">
        <v>22960335.47489959</v>
      </c>
      <c r="G38" s="10" t="inlineStr">
        <is>
          <t>0,6 -&gt; 0,5</t>
        </is>
      </c>
      <c r="H38" s="9" t="inlineStr">
        <is>
          <t>economics.annual_work_hours</t>
        </is>
      </c>
    </row>
    <row r="39">
      <c r="A39" s="10" t="inlineStr">
        <is>
          <t>Страховые взносы</t>
        </is>
      </c>
      <c r="B39" s="10" t="inlineStr">
        <is>
          <t>30% оклада</t>
        </is>
      </c>
      <c r="C39" s="10" t="inlineStr"/>
      <c r="D39" s="18" t="n">
        <v>18440348.82094222</v>
      </c>
      <c r="E39" s="10" t="inlineStr">
        <is>
          <t>1,4 -&gt; 1,3</t>
        </is>
      </c>
      <c r="F39" s="18" t="n">
        <v>18440348.82094224</v>
      </c>
      <c r="G39" s="10" t="inlineStr">
        <is>
          <t>0,6 -&gt; 0,5</t>
        </is>
      </c>
      <c r="H39" s="9" t="inlineStr">
        <is>
          <t>economics.payroll.insurance_rate</t>
        </is>
      </c>
    </row>
    <row r="40">
      <c r="A40" s="10" t="inlineStr">
        <is>
          <t>Объем задачи в сутки, перевозка паллет между зонами</t>
        </is>
      </c>
      <c r="B40" s="10" t="inlineStr">
        <is>
          <t>2 000 в сутки</t>
        </is>
      </c>
      <c r="C40" s="10" t="inlineStr"/>
      <c r="D40" s="18" t="n">
        <v>17105070.21169496</v>
      </c>
      <c r="E40" s="10" t="inlineStr">
        <is>
          <t>1,2 -&gt; 1,6</t>
        </is>
      </c>
      <c r="F40" s="18" t="n">
        <v>18389857.41169496</v>
      </c>
      <c r="G40" s="10" t="inlineStr">
        <is>
          <t>0,5 -&gt; 0,6</t>
        </is>
      </c>
      <c r="H40" s="9" t="inlineStr">
        <is>
          <t>facilities.warehouse.operations.pallet_transport.volume_per_day</t>
        </is>
      </c>
    </row>
    <row r="41">
      <c r="A41" s="10" t="inlineStr">
        <is>
          <t>Пиковый коэффициент нагрузки</t>
        </is>
      </c>
      <c r="B41" s="10" t="inlineStr">
        <is>
          <t>1,5 раза</t>
        </is>
      </c>
      <c r="C41" s="10" t="inlineStr"/>
      <c r="D41" s="18" t="n">
        <v>17105070.21169496</v>
      </c>
      <c r="E41" s="10" t="inlineStr">
        <is>
          <t>1,2 -&gt; 1,6</t>
        </is>
      </c>
      <c r="F41" s="18" t="n">
        <v>18389857.41169496</v>
      </c>
      <c r="G41" s="10" t="inlineStr">
        <is>
          <t>0,5 -&gt; 0,6</t>
        </is>
      </c>
      <c r="H41" s="9" t="inlineStr">
        <is>
          <t>facilities.warehouse.peak_factor</t>
        </is>
      </c>
    </row>
    <row r="42">
      <c r="A42" s="10" t="inlineStr">
        <is>
          <t>Средняя скорость</t>
        </is>
      </c>
      <c r="B42" s="10" t="inlineStr">
        <is>
          <t>1 м/с</t>
        </is>
      </c>
      <c r="C42" s="10" t="inlineStr"/>
      <c r="D42" s="18" t="n">
        <v>17105070.21169496</v>
      </c>
      <c r="E42" s="10" t="inlineStr">
        <is>
          <t>1,6 -&gt; 1,2</t>
        </is>
      </c>
      <c r="F42" s="18" t="n">
        <v>18389857.41169496</v>
      </c>
      <c r="G42" s="10" t="inlineStr">
        <is>
          <t>0,6 -&gt; 0,5</t>
        </is>
      </c>
      <c r="H42" s="9" t="inlineStr">
        <is>
          <t>robots.ronavi-h1500.avg_speed_m_s</t>
        </is>
      </c>
    </row>
    <row r="43">
      <c r="A43" s="10" t="inlineStr">
        <is>
          <t>Роботов в строю</t>
        </is>
      </c>
      <c r="B43" s="10" t="inlineStr">
        <is>
          <t>90%</t>
        </is>
      </c>
      <c r="C43" s="10" t="inlineStr"/>
      <c r="D43" s="18" t="n">
        <v>16610070.21169496</v>
      </c>
      <c r="E43" s="10" t="inlineStr">
        <is>
          <t>1,7 -&gt; 1,3</t>
        </is>
      </c>
      <c r="F43" s="18" t="n">
        <v>18389857.41169494</v>
      </c>
      <c r="G43" s="10" t="inlineStr">
        <is>
          <t>0,7 -&gt; 0,5</t>
        </is>
      </c>
      <c r="H43" s="9" t="inlineStr">
        <is>
          <t>engine.simulation.availability</t>
        </is>
      </c>
    </row>
    <row r="44">
      <c r="A44" s="10" t="inlineStr">
        <is>
          <t>Цена робота</t>
        </is>
      </c>
      <c r="B44" s="10" t="inlineStr">
        <is>
          <t>2 700 000 ₽</t>
        </is>
      </c>
      <c r="C44" s="10" t="inlineStr"/>
      <c r="D44" s="18" t="n">
        <v>17025865.52832</v>
      </c>
      <c r="E44" s="10" t="inlineStr">
        <is>
          <t>1,1 -&gt; 1,5</t>
        </is>
      </c>
      <c r="F44" s="18" t="n">
        <v>7491089.848320007</v>
      </c>
      <c r="G44" s="10" t="inlineStr">
        <is>
          <t>0,5 -&gt; 0,5</t>
        </is>
      </c>
      <c r="H44" s="9" t="inlineStr">
        <is>
          <t>robots.ronavi-h1500.price_rub</t>
        </is>
      </c>
    </row>
    <row r="45">
      <c r="A45" s="10" t="inlineStr">
        <is>
          <t>Аренда в месяц</t>
        </is>
      </c>
      <c r="B45" s="10" t="inlineStr">
        <is>
          <t>100 000 ₽ в месяц за робота</t>
        </is>
      </c>
      <c r="C45" s="10" t="inlineStr"/>
      <c r="D45" s="18" t="n">
        <v>0</v>
      </c>
      <c r="E45" s="10" t="inlineStr">
        <is>
          <t>1,3 -&gt; 1,3</t>
        </is>
      </c>
      <c r="F45" s="18" t="n">
        <v>12960000</v>
      </c>
      <c r="G45" s="10" t="inlineStr">
        <is>
          <t>0,5 -&gt; 0,6</t>
        </is>
      </c>
      <c r="H45" s="9" t="inlineStr">
        <is>
          <t>robots.ronavi-h1500.raas.fee_rub_month</t>
        </is>
      </c>
    </row>
    <row r="46">
      <c r="A46" s="10" t="inlineStr">
        <is>
          <t>Рост зарплат в год</t>
        </is>
      </c>
      <c r="B46" s="10" t="inlineStr">
        <is>
          <t>7% в год</t>
        </is>
      </c>
      <c r="C46" s="10" t="inlineStr"/>
      <c r="D46" s="18" t="n">
        <v>11276183.10171767</v>
      </c>
      <c r="E46" s="10" t="inlineStr">
        <is>
          <t>1,3 -&gt; 1,3</t>
        </is>
      </c>
      <c r="F46" s="18" t="n">
        <v>11276183.10171764</v>
      </c>
      <c r="G46" s="10" t="inlineStr">
        <is>
          <t>0,5 -&gt; 0,5</t>
        </is>
      </c>
      <c r="H46" s="9" t="inlineStr">
        <is>
          <t>economics.wage_growth</t>
        </is>
      </c>
    </row>
    <row r="47">
      <c r="A47" s="10" t="inlineStr">
        <is>
          <t>Продолжительность смены</t>
        </is>
      </c>
      <c r="B47" s="10" t="inlineStr">
        <is>
          <t>11 ч</t>
        </is>
      </c>
      <c r="C47" s="10" t="inlineStr"/>
      <c r="D47" s="18" t="n">
        <v>5126924.47108309</v>
      </c>
      <c r="E47" s="10" t="inlineStr">
        <is>
          <t>1,6 -&gt; не справится</t>
        </is>
      </c>
      <c r="F47" s="18" t="n">
        <v>6621510.401907146</v>
      </c>
      <c r="G47" s="10" t="inlineStr">
        <is>
          <t>0,6 -&gt; не справится</t>
        </is>
      </c>
      <c r="H47" s="9" t="inlineStr">
        <is>
          <t>facilities.warehouse.schedule.shift_hours</t>
        </is>
      </c>
    </row>
    <row r="48">
      <c r="A48" s="10" t="inlineStr">
        <is>
          <t>Запас парка на пик</t>
        </is>
      </c>
      <c r="B48" s="10" t="inlineStr">
        <is>
          <t>15%</t>
        </is>
      </c>
      <c r="C48" s="10" t="inlineStr"/>
      <c r="D48" s="18" t="n">
        <v>5536690.07056497</v>
      </c>
      <c r="E48" s="10" t="inlineStr">
        <is>
          <t>1,3 -&gt; 1,4</t>
        </is>
      </c>
      <c r="F48" s="18" t="n">
        <v>6129952.470564976</v>
      </c>
      <c r="G48" s="10" t="inlineStr">
        <is>
          <t>0,5 -&gt; 0,6</t>
        </is>
      </c>
      <c r="H48" s="9" t="inlineStr">
        <is>
          <t>economics.peak_reserve_share</t>
        </is>
      </c>
    </row>
    <row r="49">
      <c r="A49" s="10" t="inlineStr">
        <is>
          <t>Погрузка и выгрузка за рейс</t>
        </is>
      </c>
      <c r="B49" s="10" t="inlineStr">
        <is>
          <t>20 с</t>
        </is>
      </c>
      <c r="C49" s="10" t="inlineStr"/>
      <c r="D49" s="18" t="n">
        <v>5536690.07056497</v>
      </c>
      <c r="E49" s="10" t="inlineStr">
        <is>
          <t>1,3 -&gt; 1,4</t>
        </is>
      </c>
      <c r="F49" s="18" t="n">
        <v>6129952.470564976</v>
      </c>
      <c r="G49" s="10" t="inlineStr">
        <is>
          <t>0,5 -&gt; 0,6</t>
        </is>
      </c>
      <c r="H49" s="9" t="inlineStr">
        <is>
          <t>robots.ronavi-h1500.handling_s</t>
        </is>
      </c>
    </row>
    <row r="50">
      <c r="A50" s="10" t="inlineStr">
        <is>
          <t>Обслуживание в год, доля цены</t>
        </is>
      </c>
      <c r="B50" s="10" t="inlineStr">
        <is>
          <t>10% цены в год</t>
        </is>
      </c>
      <c r="C50" s="10" t="inlineStr"/>
      <c r="D50" s="18" t="n">
        <v>5264665.528319985</v>
      </c>
      <c r="E50" s="10" t="inlineStr">
        <is>
          <t>1,3 -&gt; 1,4</t>
        </is>
      </c>
      <c r="F50" s="18" t="n">
        <v>2230470.328319982</v>
      </c>
      <c r="G50" s="10" t="inlineStr">
        <is>
          <t>0,5 -&gt; 0,5</t>
        </is>
      </c>
      <c r="H50" s="9" t="inlineStr">
        <is>
          <t>robots.ronavi-h1500.maintenance_share_year</t>
        </is>
      </c>
    </row>
    <row r="51">
      <c r="A51" s="10" t="inlineStr">
        <is>
          <t>Потери рабочего времени</t>
        </is>
      </c>
      <c r="B51" s="10" t="inlineStr">
        <is>
          <t>25%</t>
        </is>
      </c>
      <c r="C51" s="10" t="inlineStr"/>
      <c r="D51" s="18" t="n">
        <v>4408384.411180735</v>
      </c>
      <c r="E51" s="10" t="inlineStr">
        <is>
          <t>1,3 -&gt; 1,3</t>
        </is>
      </c>
      <c r="F51" s="18" t="n">
        <v>4408384.411180764</v>
      </c>
      <c r="G51" s="10" t="inlineStr">
        <is>
          <t>0,5 -&gt; 0,5</t>
        </is>
      </c>
      <c r="H51" s="9" t="inlineStr">
        <is>
          <t>facilities.warehouse.staff_loss_share</t>
        </is>
      </c>
    </row>
    <row r="52">
      <c r="A52" s="10" t="inlineStr">
        <is>
          <t>Интеграция с WMS</t>
        </is>
      </c>
      <c r="B52" s="10" t="inlineStr">
        <is>
          <t>5 000 000 ₽</t>
        </is>
      </c>
      <c r="C52" s="10" t="inlineStr"/>
      <c r="D52" s="18" t="n">
        <v>2200000</v>
      </c>
      <c r="E52" s="10" t="inlineStr">
        <is>
          <t>1,3 -&gt; 1,4</t>
        </is>
      </c>
      <c r="F52" s="18" t="n">
        <v>2200000</v>
      </c>
      <c r="G52" s="10" t="inlineStr">
        <is>
          <t>0,5 -&gt; 0,6</t>
        </is>
      </c>
      <c r="H52" s="9" t="inlineStr">
        <is>
          <t>facilities.warehouse.implementation.integration_rub</t>
        </is>
      </c>
    </row>
    <row r="53">
      <c r="A53" s="10" t="inlineStr">
        <is>
          <t>Резерв на непредвиденное, доля вложений</t>
        </is>
      </c>
      <c r="B53" s="10" t="inlineStr">
        <is>
          <t>10%</t>
        </is>
      </c>
      <c r="C53" s="10" t="inlineStr"/>
      <c r="D53" s="18" t="n">
        <v>1505236.004056811</v>
      </c>
      <c r="E53" s="10" t="inlineStr">
        <is>
          <t>1,3 -&gt; 1,4</t>
        </is>
      </c>
      <c r="F53" s="18" t="n">
        <v>419236.0040568113</v>
      </c>
      <c r="G53" s="10" t="inlineStr">
        <is>
          <t>0,5 -&gt; 0,5</t>
        </is>
      </c>
      <c r="H53" s="9" t="inlineStr">
        <is>
          <t>economics.capex_reserve_share</t>
        </is>
      </c>
    </row>
    <row r="54">
      <c r="A54" s="10" t="inlineStr">
        <is>
          <t>Инфраструктура объекта</t>
        </is>
      </c>
      <c r="B54" s="10" t="inlineStr">
        <is>
          <t>3 000 000 ₽</t>
        </is>
      </c>
      <c r="C54" s="10" t="inlineStr"/>
      <c r="D54" s="18" t="n">
        <v>1320000</v>
      </c>
      <c r="E54" s="10" t="inlineStr">
        <is>
          <t>1,3 -&gt; 1,4</t>
        </is>
      </c>
      <c r="F54" s="18" t="n">
        <v>1320000</v>
      </c>
      <c r="G54" s="10" t="inlineStr">
        <is>
          <t>0,5 -&gt; 0,5</t>
        </is>
      </c>
      <c r="H54" s="9" t="inlineStr">
        <is>
          <t>facilities.warehouse.implementation.infrastructure_rub</t>
        </is>
      </c>
    </row>
    <row r="55">
      <c r="A55" s="10" t="inlineStr">
        <is>
          <t>Лицензия ПО в год</t>
        </is>
      </c>
      <c r="B55" s="10" t="inlineStr">
        <is>
          <t>60 000 ₽ в год на робота</t>
        </is>
      </c>
      <c r="C55" s="10" t="inlineStr"/>
      <c r="D55" s="18" t="n">
        <v>1169925.672960013</v>
      </c>
      <c r="E55" s="10" t="inlineStr">
        <is>
          <t>1,3 -&gt; 1,3</t>
        </is>
      </c>
      <c r="F55" s="18" t="n">
        <v>495660.0729599893</v>
      </c>
      <c r="G55" s="10" t="inlineStr">
        <is>
          <t>0,5 -&gt; 0,5</t>
        </is>
      </c>
      <c r="H55" s="9" t="inlineStr">
        <is>
          <t>robots.ronavi-h1500.license_rub_year</t>
        </is>
      </c>
    </row>
    <row r="56">
      <c r="A56" s="10" t="inlineStr">
        <is>
          <t>Тариф на электроэнергию</t>
        </is>
      </c>
      <c r="B56" s="10" t="inlineStr">
        <is>
          <t>9 ₽ за кВт·ч</t>
        </is>
      </c>
      <c r="C56" s="10" t="inlineStr"/>
      <c r="D56" s="18" t="n">
        <v>1121078.972753942</v>
      </c>
      <c r="E56" s="10" t="inlineStr">
        <is>
          <t>1,3 -&gt; 1,3</t>
        </is>
      </c>
      <c r="F56" s="18" t="n">
        <v>1121078.972753942</v>
      </c>
      <c r="G56" s="10" t="inlineStr">
        <is>
          <t>0,5 -&gt; 0,5</t>
        </is>
      </c>
      <c r="H56" s="9" t="inlineStr">
        <is>
          <t>economics.energy_price_rub_kwh</t>
        </is>
      </c>
    </row>
    <row r="57">
      <c r="A57" s="10" t="inlineStr">
        <is>
          <t>Средняя мощность</t>
        </is>
      </c>
      <c r="B57" s="10" t="inlineStr">
        <is>
          <t>0,72 кВт</t>
        </is>
      </c>
      <c r="C57" s="10" t="inlineStr"/>
      <c r="D57" s="18" t="n">
        <v>1121078.972753942</v>
      </c>
      <c r="E57" s="10" t="inlineStr">
        <is>
          <t>1,3 -&gt; 1,3</t>
        </is>
      </c>
      <c r="F57" s="18" t="n">
        <v>1121078.972753942</v>
      </c>
      <c r="G57" s="10" t="inlineStr">
        <is>
          <t>0,5 -&gt; 0,5</t>
        </is>
      </c>
      <c r="H57" s="9" t="inlineStr">
        <is>
          <t>robots.ronavi-h1500.avg_power_kw</t>
        </is>
      </c>
    </row>
    <row r="58">
      <c r="A58" s="10" t="inlineStr">
        <is>
          <t>Пусконаладка, доля цены</t>
        </is>
      </c>
      <c r="B58" s="10" t="inlineStr">
        <is>
          <t>10% цены робота</t>
        </is>
      </c>
      <c r="C58" s="10" t="inlineStr"/>
      <c r="D58" s="18" t="n">
        <v>1069200</v>
      </c>
      <c r="E58" s="10" t="inlineStr">
        <is>
          <t>1,3 -&gt; 1,3</t>
        </is>
      </c>
      <c r="F58" s="18" t="n">
        <v>1069200</v>
      </c>
      <c r="G58" s="10" t="inlineStr">
        <is>
          <t>0,5 -&gt; 0,5</t>
        </is>
      </c>
      <c r="H58" s="9" t="inlineStr">
        <is>
          <t>robots.ronavi-h1500.commissioning_share</t>
        </is>
      </c>
    </row>
    <row r="59">
      <c r="A59" s="10" t="inlineStr">
        <is>
          <t>Выход на режим: эффект в первый месяц, перевозка и уборка</t>
        </is>
      </c>
      <c r="B59" s="10" t="inlineStr">
        <is>
          <t>70%</t>
        </is>
      </c>
      <c r="C59" s="10" t="inlineStr"/>
      <c r="D59" s="18" t="n">
        <v>1042188</v>
      </c>
      <c r="E59" s="10" t="inlineStr">
        <is>
          <t>1,3 -&gt; 1,3</t>
        </is>
      </c>
      <c r="F59" s="18" t="n">
        <v>1042188</v>
      </c>
      <c r="G59" s="10" t="inlineStr">
        <is>
          <t>0,5 -&gt; 0,5</t>
        </is>
      </c>
      <c r="H59" s="9" t="inlineStr">
        <is>
          <t>ramp_up.simple.first_month_share</t>
        </is>
      </c>
    </row>
    <row r="60">
      <c r="A60" s="10" t="inlineStr">
        <is>
          <t>ПО управления парком</t>
        </is>
      </c>
      <c r="B60" s="10" t="inlineStr">
        <is>
          <t>1 500 000 ₽</t>
        </is>
      </c>
      <c r="C60" s="10" t="inlineStr"/>
      <c r="D60" s="18" t="n">
        <v>660000</v>
      </c>
      <c r="E60" s="10" t="inlineStr">
        <is>
          <t>1,3 -&gt; 1,3</t>
        </is>
      </c>
      <c r="F60" s="18" t="n">
        <v>0</v>
      </c>
      <c r="G60" s="10" t="inlineStr">
        <is>
          <t>0,5 -&gt; 0,5</t>
        </is>
      </c>
      <c r="H60" s="9" t="inlineStr">
        <is>
          <t>robots.ronavi-h1500.software_rub</t>
        </is>
      </c>
    </row>
    <row r="61">
      <c r="A61" s="10" t="inlineStr">
        <is>
          <t>Связь и сеть в год</t>
        </is>
      </c>
      <c r="B61" s="10" t="inlineStr">
        <is>
          <t>300 000 ₽ в год</t>
        </is>
      </c>
      <c r="C61" s="10" t="inlineStr"/>
      <c r="D61" s="18" t="n">
        <v>649958.7072000206</v>
      </c>
      <c r="E61" s="10" t="inlineStr">
        <is>
          <t>1,3 -&gt; 1,3</t>
        </is>
      </c>
      <c r="F61" s="18" t="n">
        <v>649958.7071999907</v>
      </c>
      <c r="G61" s="10" t="inlineStr">
        <is>
          <t>0,5 -&gt; 0,5</t>
        </is>
      </c>
      <c r="H61" s="9" t="inlineStr">
        <is>
          <t>facilities.warehouse.implementation.communications_rub_year</t>
        </is>
      </c>
    </row>
    <row r="62">
      <c r="A62" s="10" t="inlineStr">
        <is>
          <t>Цена аккумулятора</t>
        </is>
      </c>
      <c r="B62" s="10" t="inlineStr">
        <is>
          <t>158 000 ₽</t>
        </is>
      </c>
      <c r="C62" s="10" t="inlineStr"/>
      <c r="D62" s="18" t="n">
        <v>615214.0800000131</v>
      </c>
      <c r="E62" s="10" t="inlineStr">
        <is>
          <t>1,3 -&gt; 1,3</t>
        </is>
      </c>
      <c r="F62" s="18" t="n">
        <v>0</v>
      </c>
      <c r="G62" s="10" t="inlineStr">
        <is>
          <t>0,5 -&gt; 0,5</t>
        </is>
      </c>
      <c r="H62" s="9" t="inlineStr">
        <is>
          <t>robots.ronavi-h1500.battery_price_rub</t>
        </is>
      </c>
    </row>
    <row r="63">
      <c r="A63" s="10" t="inlineStr">
        <is>
          <t>Инфляция в год</t>
        </is>
      </c>
      <c r="B63" s="10" t="inlineStr">
        <is>
          <t>4% в год</t>
        </is>
      </c>
      <c r="C63" s="10" t="inlineStr"/>
      <c r="D63" s="18" t="n">
        <v>613666.5120768249</v>
      </c>
      <c r="E63" s="10" t="inlineStr">
        <is>
          <t>1,3 -&gt; 1,3</t>
        </is>
      </c>
      <c r="F63" s="18" t="n">
        <v>431955.7920768261</v>
      </c>
      <c r="G63" s="10" t="inlineStr">
        <is>
          <t>0,5 -&gt; 0,5</t>
        </is>
      </c>
      <c r="H63" s="9" t="inlineStr">
        <is>
          <t>economics.inflation</t>
        </is>
      </c>
    </row>
    <row r="64">
      <c r="A64" s="10" t="inlineStr">
        <is>
          <t>Цена зарядной станции</t>
        </is>
      </c>
      <c r="B64" s="10" t="inlineStr">
        <is>
          <t>450 000 ₽</t>
        </is>
      </c>
      <c r="C64" s="10" t="inlineStr"/>
      <c r="D64" s="18" t="n">
        <v>594000</v>
      </c>
      <c r="E64" s="10" t="inlineStr">
        <is>
          <t>1,3 -&gt; 1,3</t>
        </is>
      </c>
      <c r="F64" s="18" t="n">
        <v>0</v>
      </c>
      <c r="G64" s="10" t="inlineStr">
        <is>
          <t>0,5 -&gt; 0,5</t>
        </is>
      </c>
      <c r="H64" s="9" t="inlineStr">
        <is>
          <t>robots.ronavi-h1500.charger_price_rub</t>
        </is>
      </c>
    </row>
    <row r="65">
      <c r="A65" s="10" t="inlineStr">
        <is>
          <t>Взнос от несчастных случаев</t>
        </is>
      </c>
      <c r="B65" s="10" t="inlineStr">
        <is>
          <t>0,6% оклада</t>
        </is>
      </c>
      <c r="C65" s="10" t="inlineStr"/>
      <c r="D65" s="18" t="n">
        <v>368806.976418823</v>
      </c>
      <c r="E65" s="10" t="inlineStr">
        <is>
          <t>1,3 -&gt; 1,3</t>
        </is>
      </c>
      <c r="F65" s="18" t="n">
        <v>368806.976418823</v>
      </c>
      <c r="G65" s="10" t="inlineStr">
        <is>
          <t>0,5 -&gt; 0,5</t>
        </is>
      </c>
      <c r="H65" s="9" t="inlineStr">
        <is>
          <t>economics.payroll.injury_insurance_rate</t>
        </is>
      </c>
    </row>
    <row r="66">
      <c r="A66" s="10" t="inlineStr">
        <is>
          <t>Ответственность за порчу в аренде</t>
        </is>
      </c>
      <c r="B66" s="10" t="inlineStr">
        <is>
          <t>1% цены в год</t>
        </is>
      </c>
      <c r="C66" s="10" t="inlineStr"/>
      <c r="D66" s="18" t="n">
        <v>0</v>
      </c>
      <c r="E66" s="10" t="inlineStr">
        <is>
          <t>1,3 -&gt; 1,3</t>
        </is>
      </c>
      <c r="F66" s="18" t="n">
        <v>303419.5200000107</v>
      </c>
      <c r="G66" s="10" t="inlineStr">
        <is>
          <t>0,5 -&gt; 0,5</t>
        </is>
      </c>
      <c r="H66" s="9" t="inlineStr">
        <is>
          <t>robots.ronavi-h1500.raas.damage_share_year</t>
        </is>
      </c>
    </row>
    <row r="67">
      <c r="A67" s="10" t="inlineStr">
        <is>
          <t>Рост цены электроэнергии в год</t>
        </is>
      </c>
      <c r="B67" s="10" t="inlineStr">
        <is>
          <t>9% в год</t>
        </is>
      </c>
      <c r="C67" s="10" t="inlineStr"/>
      <c r="D67" s="18" t="n">
        <v>201064.7438055873</v>
      </c>
      <c r="E67" s="10" t="inlineStr">
        <is>
          <t>1,3 -&gt; 1,3</t>
        </is>
      </c>
      <c r="F67" s="18" t="n">
        <v>201064.7438055873</v>
      </c>
      <c r="G67" s="10" t="inlineStr">
        <is>
          <t>0,5 -&gt; 0,5</t>
        </is>
      </c>
      <c r="H67" s="9" t="inlineStr">
        <is>
          <t>economics.energy_price_growth</t>
        </is>
      </c>
    </row>
    <row r="68">
      <c r="A68" s="10" t="inlineStr">
        <is>
          <t>Переобучение одного человека</t>
        </is>
      </c>
      <c r="B68" s="10" t="inlineStr">
        <is>
          <t>10 000 ₽ на человека</t>
        </is>
      </c>
      <c r="C68" s="10" t="inlineStr"/>
      <c r="D68" s="18" t="n">
        <v>22396.04462474585</v>
      </c>
      <c r="E68" s="10" t="inlineStr">
        <is>
          <t>1,3 -&gt; 1,3</t>
        </is>
      </c>
      <c r="F68" s="18" t="n">
        <v>22396.04462474585</v>
      </c>
      <c r="G68" s="10" t="inlineStr">
        <is>
          <t>0,5 -&gt; 0,5</t>
        </is>
      </c>
      <c r="H68" s="9" t="inlineStr">
        <is>
          <t>facilities.warehouse.implementation.retraining_rub_per_person</t>
        </is>
      </c>
    </row>
    <row r="69"/>
    <row r="70">
      <c r="A70" s="2" t="inlineStr">
        <is>
          <t>Итог не двигают при сдвиге до 20%: Предельная база страховых взносов, Взносы сверх предельной базы, Площадь зоны работы роботов, Доля отборов ходового товара, Доля ходового товара, Подбор оператора, Вес груза, перевозка паллет между зонами, Активных SKU, Время зарядки, Внимание оператора, минут в час, Работа от одной зарядки</t>
        </is>
      </c>
    </row>
    <row r="71"/>
    <row r="72">
      <c r="A72" s="2" t="inlineStr">
        <is>
          <t>Равны нулю, в процентах их не сдвинуть: Текучесть персонала в год, Спецодежда на человека в год, Надбавка оператору роботов, Рейсов в час по паспорту, Присмотр за парком в аренде, Цена станции комплектации</t>
        </is>
      </c>
    </row>
  </sheetData>
  <pageMargins left="0.75" right="0.75" top="1" bottom="1" header="0.5" footer="0.5"/>
  <pageSetup orientation="landscape" paperSize="9" fitToHeight="0" fitToWidth="1"/>
  <headerFooter>
    <oddHeader/>
    <oddFooter>&amp;LРасклад · предварительная оценка&amp;RЛист &amp;P из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2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22" customWidth="1" min="2" max="2"/>
    <col width="22" customWidth="1" min="3" max="3"/>
    <col width="22" customWidth="1" min="4" max="4"/>
    <col width="22" customWidth="1" min="5" max="5"/>
  </cols>
  <sheetData>
    <row r="1" ht="22" customHeight="1">
      <c r="A1" s="1" t="inlineStr">
        <is>
          <t>Парк роботов и штат</t>
        </is>
      </c>
    </row>
    <row r="2">
      <c r="A2" s="2" t="inlineStr">
        <is>
          <t>Склад, перевозка паллет между зонами · Ronavi H1500 (грузоподъемность до 1 500 кг) · расчет от 28.09.2026 22:10 мск · модель 0.2</t>
        </is>
      </c>
    </row>
    <row r="3">
      <c r="A3" s="3" t="inlineStr">
        <is>
          <t>Предварительная оценка, не коммерческое предложение</t>
        </is>
      </c>
    </row>
    <row r="4"/>
    <row r="5">
      <c r="A5" s="4" t="inlineStr">
        <is>
          <t>Что</t>
        </is>
      </c>
      <c r="B5" s="5" t="inlineStr">
        <is>
          <t>Перевозка паллет между зонами</t>
        </is>
      </c>
    </row>
    <row r="6">
      <c r="A6" s="10" t="inlineStr">
        <is>
          <t>Решение</t>
        </is>
      </c>
      <c r="B6" s="10" t="inlineStr">
        <is>
          <t>Ronavi H1500 (грузоподъемность до 1 500 кг)</t>
        </is>
      </c>
    </row>
    <row r="7">
      <c r="A7" s="10" t="inlineStr">
        <is>
          <t>Производитель</t>
        </is>
      </c>
      <c r="B7" s="10" t="inlineStr">
        <is>
          <t>ООО "Ронави Роботикс"</t>
        </is>
      </c>
    </row>
    <row r="8">
      <c r="A8" s="10" t="inlineStr">
        <is>
          <t>Цена решения из каталога, ₽</t>
        </is>
      </c>
      <c r="B8" s="18" t="n">
        <v>2700000</v>
      </c>
    </row>
    <row r="9">
      <c r="A9" s="10" t="inlineStr">
        <is>
          <t>Откуда размер парка</t>
        </is>
      </c>
      <c r="B9" s="10" t="inlineStr">
        <is>
          <t>прогон смены</t>
        </is>
      </c>
    </row>
    <row r="10">
      <c r="A10" s="10" t="inlineStr">
        <is>
          <t>Роботов</t>
        </is>
      </c>
      <c r="B10" s="26" t="n">
        <v>9</v>
      </c>
    </row>
    <row r="11">
      <c r="A11" s="10" t="inlineStr">
        <is>
          <t>Зарядных станций</t>
        </is>
      </c>
      <c r="B11" s="26" t="n">
        <v>3</v>
      </c>
    </row>
    <row r="12">
      <c r="A12" s="10" t="inlineStr">
        <is>
          <t>Станций комплектации</t>
        </is>
      </c>
      <c r="B12" s="26" t="n">
        <v>0</v>
      </c>
    </row>
    <row r="13">
      <c r="A13" s="10" t="inlineStr">
        <is>
          <t>Спрос в пиковый час, операций</t>
        </is>
      </c>
      <c r="B13" s="27" t="n">
        <v>148.9772727272727</v>
      </c>
    </row>
    <row r="14">
      <c r="A14" s="10" t="inlineStr">
        <is>
          <t>Робот делает операций в час</t>
        </is>
      </c>
      <c r="B14" s="27" t="n">
        <v>17.82646004744839</v>
      </c>
    </row>
    <row r="15">
      <c r="A15" s="10" t="inlineStr">
        <is>
          <t>Средний маршрут, м</t>
        </is>
      </c>
      <c r="B15" s="27" t="n">
        <v>65.73012232415903</v>
      </c>
    </row>
    <row r="16">
      <c r="A16" s="10" t="inlineStr">
        <is>
          <t>Дежурных операторов в смену</t>
        </is>
      </c>
      <c r="B16" s="26" t="n">
        <v>1</v>
      </c>
    </row>
    <row r="17">
      <c r="A17" s="10" t="inlineStr">
        <is>
          <t>Людей на операции в смену, было</t>
        </is>
      </c>
      <c r="B17" s="27" t="n">
        <v>4.666002490660024</v>
      </c>
    </row>
    <row r="18">
      <c r="A18" s="10" t="inlineStr">
        <is>
          <t>Людей на операции в смену, стало</t>
        </is>
      </c>
      <c r="B18" s="27" t="n">
        <v>1</v>
      </c>
    </row>
    <row r="19">
      <c r="A19" s="10" t="inlineStr">
        <is>
          <t>Высвобождено ставок</t>
        </is>
      </c>
      <c r="B19" s="27" t="n">
        <v>23.75</v>
      </c>
    </row>
    <row r="20">
      <c r="A20" s="10" t="inlineStr">
        <is>
          <t>Из них переучиваем в операторов</t>
        </is>
      </c>
      <c r="B20" s="27" t="n">
        <v>5.09001014198783</v>
      </c>
    </row>
    <row r="21"/>
    <row r="22">
      <c r="A22" s="28" t="inlineStr">
        <is>
          <t>Роль</t>
        </is>
      </c>
      <c r="B22" s="29" t="inlineStr">
        <is>
          <t>Мест в штате</t>
        </is>
      </c>
      <c r="C22" s="29" t="inlineStr">
        <is>
          <t>Из них работает</t>
        </is>
      </c>
      <c r="D22" s="29" t="inlineStr">
        <is>
          <t>Оклад в месяц, ₽</t>
        </is>
      </c>
      <c r="E22" s="29" t="inlineStr">
        <is>
          <t>По договору</t>
        </is>
      </c>
    </row>
    <row r="23">
      <c r="A23" s="10" t="inlineStr">
        <is>
          <t>Оператор погрузчика</t>
        </is>
      </c>
      <c r="B23" s="21" t="n">
        <v>25</v>
      </c>
      <c r="C23" s="21" t="n">
        <v>25</v>
      </c>
      <c r="D23" s="18" t="n">
        <v>120000</v>
      </c>
      <c r="E23" s="10" t="inlineStr">
        <is>
          <t>нет</t>
        </is>
      </c>
    </row>
  </sheetData>
  <pageMargins left="0.75" right="0.75" top="1" bottom="1" header="0.5" footer="0.5"/>
  <pageSetup orientation="portrait" paperSize="9" fitToHeight="0" fitToWidth="1"/>
  <headerFooter>
    <oddHeader/>
    <oddFooter>&amp;LРасклад · предварительная оценка&amp;RЛист &amp;P из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B1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4" customWidth="1" min="1" max="1"/>
    <col width="22" customWidth="1" min="2" max="2"/>
  </cols>
  <sheetData>
    <row r="1" ht="22" customHeight="1">
      <c r="A1" s="1" t="inlineStr">
        <is>
          <t>Смена на плане</t>
        </is>
      </c>
    </row>
    <row r="2">
      <c r="A2" s="2" t="inlineStr">
        <is>
          <t>Склад, перевозка паллет между зонами · Ronavi H1500 (грузоподъемность до 1 500 кг) · расчет от 28.09.2026 22:10 мск · модель 0.2</t>
        </is>
      </c>
    </row>
    <row r="3">
      <c r="A3" s="3" t="inlineStr">
        <is>
          <t>Предварительная оценка, не коммерческое предложение</t>
        </is>
      </c>
    </row>
    <row r="4">
      <c r="A4" s="2" t="inlineStr">
        <is>
          <t>Прогон смены тем парком, что в расчете: пик спроса, очереди и зарядка</t>
        </is>
      </c>
    </row>
    <row r="5">
      <c r="A5" s="4" t="inlineStr">
        <is>
          <t>Что</t>
        </is>
      </c>
      <c r="B5" s="5" t="inlineStr">
        <is>
          <t>Перевозка паллет между зонами</t>
        </is>
      </c>
    </row>
    <row r="6">
      <c r="A6" s="10" t="inlineStr">
        <is>
          <t>Решение</t>
        </is>
      </c>
      <c r="B6" s="10" t="inlineStr">
        <is>
          <t>Ronavi H1500 (грузоподъемность до 1 500 кг)</t>
        </is>
      </c>
    </row>
    <row r="7">
      <c r="A7" s="10" t="inlineStr">
        <is>
          <t>Роботов в прогоне</t>
        </is>
      </c>
      <c r="B7" s="26" t="n">
        <v>9</v>
      </c>
    </row>
    <row r="8">
      <c r="A8" s="10" t="inlineStr">
        <is>
          <t>Часов смены</t>
        </is>
      </c>
      <c r="B8" s="26" t="n">
        <v>8</v>
      </c>
    </row>
    <row r="9">
      <c r="A9" s="10" t="inlineStr">
        <is>
          <t>Единица задачи</t>
        </is>
      </c>
      <c r="B9" s="10" t="inlineStr">
        <is>
          <t>паллет</t>
        </is>
      </c>
    </row>
    <row r="10">
      <c r="A10" s="10" t="inlineStr">
        <is>
          <t>Пик спроса с запасом, в час</t>
        </is>
      </c>
      <c r="B10" s="27" t="n">
        <v>148.9772727272727</v>
      </c>
    </row>
    <row r="11">
      <c r="A11" s="10" t="inlineStr">
        <is>
          <t>Сделано за смену</t>
        </is>
      </c>
      <c r="B11" s="26" t="n">
        <v>748</v>
      </c>
    </row>
    <row r="12">
      <c r="A12" s="10" t="inlineStr">
        <is>
          <t>В среднем за смену, в час</t>
        </is>
      </c>
      <c r="B12" s="27" t="n">
        <v>93.5</v>
      </c>
    </row>
    <row r="13">
      <c r="A13" s="10" t="inlineStr">
        <is>
          <t>Роботы в работе, доля времени</t>
        </is>
      </c>
      <c r="B13" s="30" t="n">
        <v>0.4867978395061728</v>
      </c>
    </row>
    <row r="14">
      <c r="A14" s="10" t="inlineStr">
        <is>
          <t>Ждут в очереди, доля времени</t>
        </is>
      </c>
      <c r="B14" s="31" t="n">
        <v>0</v>
      </c>
    </row>
    <row r="15">
      <c r="A15" s="10" t="inlineStr">
        <is>
          <t>На зарядке, доля времени</t>
        </is>
      </c>
      <c r="B15" s="31" t="n">
        <v>0.025</v>
      </c>
    </row>
    <row r="16">
      <c r="A16" s="10" t="inlineStr">
        <is>
          <t>Средний рейс, с</t>
        </is>
      </c>
      <c r="B16" s="26" t="n">
        <v>168.2032085561497</v>
      </c>
    </row>
    <row r="17">
      <c r="A17" s="10" t="inlineStr">
        <is>
          <t>Узкое место</t>
        </is>
      </c>
      <c r="B17" s="10" t="inlineStr">
        <is>
          <t>парк взят под пик спроса: вне пика половину времени роботы стоят без задания</t>
        </is>
      </c>
    </row>
    <row r="18">
      <c r="A18" s="10" t="inlineStr">
        <is>
          <t>План</t>
        </is>
      </c>
      <c r="B18" s="10" t="inlineStr">
        <is>
          <t>типовой</t>
        </is>
      </c>
    </row>
  </sheetData>
  <pageMargins left="0.75" right="0.75" top="1" bottom="1" header="0.5" footer="0.5"/>
  <pageSetup orientation="portrait" paperSize="9" fitToHeight="0" fitToWidth="1"/>
  <headerFooter>
    <oddHeader/>
    <oddFooter>&amp;LРасклад · предварительная оценка&amp;RЛист &amp;P из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0" customWidth="1" min="4" max="4"/>
    <col width="12" customWidth="1" min="5" max="5"/>
    <col width="64" customWidth="1" min="6" max="6"/>
  </cols>
  <sheetData>
    <row r="1" ht="22" customHeight="1">
      <c r="A1" s="1" t="inlineStr">
        <is>
          <t>Параметры объекта</t>
        </is>
      </c>
    </row>
    <row r="2">
      <c r="A2" s="2" t="inlineStr">
        <is>
          <t>Склад, перевозка паллет между зонами · Ronavi H1500 (грузоподъемность до 1 500 кг) · расчет от 28.09.2026 22:10 мск · модель 0.2</t>
        </is>
      </c>
    </row>
    <row r="3">
      <c r="A3" s="3" t="inlineStr">
        <is>
          <t>Предварительная оценка, не коммерческое предложение</t>
        </is>
      </c>
    </row>
    <row r="4"/>
    <row r="5">
      <c r="A5" s="4" t="inlineStr">
        <is>
          <t>Параметр</t>
        </is>
      </c>
      <c r="B5" s="5" t="inlineStr">
        <is>
          <t>Значение</t>
        </is>
      </c>
      <c r="C5" s="5" t="inlineStr">
        <is>
          <t>Единица</t>
        </is>
      </c>
      <c r="D5" s="5" t="inlineStr">
        <is>
          <t>Доверие</t>
        </is>
      </c>
      <c r="E5" s="5" t="inlineStr">
        <is>
          <t>Поправлено</t>
        </is>
      </c>
      <c r="F5" s="5" t="inlineStr">
        <is>
          <t>Источник</t>
        </is>
      </c>
    </row>
    <row r="6">
      <c r="A6" s="10" t="inlineStr">
        <is>
          <t>Смен в сутки</t>
        </is>
      </c>
      <c r="B6" s="21" t="n">
        <v>2</v>
      </c>
      <c r="C6" s="10" t="inlineStr">
        <is>
          <t>смен</t>
        </is>
      </c>
      <c r="D6" s="32" t="inlineStr">
        <is>
          <t>D</t>
        </is>
      </c>
      <c r="E6" s="33" t="inlineStr"/>
      <c r="F6" s="9" t="inlineStr">
        <is>
          <t>Отраслевой датасет по складам, лист «Склад»</t>
        </is>
      </c>
    </row>
    <row r="7">
      <c r="A7" s="10" t="inlineStr">
        <is>
          <t>Продолжительность смены</t>
        </is>
      </c>
      <c r="B7" s="21" t="n">
        <v>11</v>
      </c>
      <c r="C7" s="10" t="inlineStr">
        <is>
          <t>ч</t>
        </is>
      </c>
      <c r="D7" s="32" t="inlineStr">
        <is>
          <t>D</t>
        </is>
      </c>
      <c r="E7" s="33" t="inlineStr"/>
      <c r="F7" s="9" t="inlineStr">
        <is>
          <t>Отраслевой датасет по складам, лист «Склад»</t>
        </is>
      </c>
    </row>
    <row r="8">
      <c r="A8" s="10" t="inlineStr">
        <is>
          <t>Рабочих дней в году</t>
        </is>
      </c>
      <c r="B8" s="21" t="n">
        <v>365</v>
      </c>
      <c r="C8" s="10" t="inlineStr">
        <is>
          <t>дн</t>
        </is>
      </c>
      <c r="D8" s="32" t="inlineStr">
        <is>
          <t>D</t>
        </is>
      </c>
      <c r="E8" s="33" t="inlineStr"/>
      <c r="F8" s="9" t="inlineStr">
        <is>
          <t>Отраслевой датасет по складам, лист «Склад»</t>
        </is>
      </c>
    </row>
    <row r="9">
      <c r="A9" s="10" t="inlineStr">
        <is>
          <t>Пиковый коэффициент нагрузки</t>
        </is>
      </c>
      <c r="B9" s="21" t="n">
        <v>1.5</v>
      </c>
      <c r="C9" s="10" t="inlineStr"/>
      <c r="D9" s="32" t="inlineStr">
        <is>
          <t>D</t>
        </is>
      </c>
      <c r="E9" s="33" t="inlineStr"/>
      <c r="F9" s="9" t="inlineStr">
        <is>
          <t>Отраслевой датасет по складам, лист «Склад»</t>
        </is>
      </c>
    </row>
    <row r="10">
      <c r="A10" s="10" t="inlineStr">
        <is>
          <t>Товар разложен по ходовости</t>
        </is>
      </c>
      <c r="B10" s="21" t="n">
        <v>0</v>
      </c>
      <c r="C10" s="10" t="inlineStr">
        <is>
          <t>1 да, 0 нет</t>
        </is>
      </c>
      <c r="D10" s="32" t="inlineStr">
        <is>
          <t>F</t>
        </is>
      </c>
      <c r="E10" s="33" t="inlineStr"/>
      <c r="F10" s="9" t="inlineStr">
        <is>
          <t>Выбор клиента: разложен ли товар по ходовости, 1 да, 0 нет. По умолчанию нет: так расчет осторожнее, а на Восток-Сервисе роботов и без этого вышло вдвое больше нашей формулы</t>
        </is>
      </c>
    </row>
    <row r="11">
      <c r="A11" s="10" t="inlineStr">
        <is>
          <t>Площадь зоны работы роботов</t>
        </is>
      </c>
      <c r="B11" s="21" t="n">
        <v>10000</v>
      </c>
      <c r="C11" s="10" t="inlineStr">
        <is>
          <t>м2</t>
        </is>
      </c>
      <c r="D11" s="32" t="inlineStr">
        <is>
          <t>D</t>
        </is>
      </c>
      <c r="E11" s="33" t="inlineStr"/>
      <c r="F11" s="9" t="inlineStr">
        <is>
          <t>Отраслевой датасет по складам, лист «Склад»</t>
        </is>
      </c>
    </row>
    <row r="12">
      <c r="A12" s="10" t="inlineStr">
        <is>
          <t>Активных SKU</t>
        </is>
      </c>
      <c r="B12" s="21" t="n">
        <v>2000</v>
      </c>
      <c r="C12" s="10" t="inlineStr">
        <is>
          <t>SKU</t>
        </is>
      </c>
      <c r="D12" s="32" t="inlineStr">
        <is>
          <t>D</t>
        </is>
      </c>
      <c r="E12" s="33" t="inlineStr"/>
      <c r="F12" s="9" t="inlineStr">
        <is>
          <t>Отраслевой датасет по складам, лист «Склад»: активных SKU 2000 (1000-10000). В расчет не входит, описание склада для отчета</t>
        </is>
      </c>
    </row>
    <row r="13">
      <c r="A13" s="10" t="inlineStr">
        <is>
          <t>Роботов в строю</t>
        </is>
      </c>
      <c r="B13" s="21" t="n">
        <v>0.9</v>
      </c>
      <c r="C13" s="10" t="inlineStr">
        <is>
          <t>доля</t>
        </is>
      </c>
      <c r="D13" s="32" t="inlineStr">
        <is>
          <t>F</t>
        </is>
      </c>
      <c r="E13" s="33" t="inlineStr"/>
      <c r="F13" s="9" t="inlineStr">
        <is>
          <t>Что остается от коэффициента загрузки после симуляции: очереди и зарядку она считает сама, остаются плановое ТО и мелкие простои. Источника нет, допущение команды</t>
        </is>
      </c>
    </row>
    <row r="14">
      <c r="A14" s="10" t="inlineStr">
        <is>
          <t>Потери рабочего времени</t>
        </is>
      </c>
      <c r="B14" s="21" t="n">
        <v>0.25</v>
      </c>
      <c r="C14" s="10" t="inlineStr">
        <is>
          <t>доля</t>
        </is>
      </c>
      <c r="D14" s="32" t="inlineStr">
        <is>
          <t>D</t>
        </is>
      </c>
      <c r="E14" s="33" t="inlineStr"/>
      <c r="F14" s="9" t="inlineStr">
        <is>
          <t>Отраслевой датасет по складам, лист «Склад»: +25% к нормативной численности</t>
        </is>
      </c>
    </row>
    <row r="15">
      <c r="A15" s="10" t="inlineStr">
        <is>
          <t>Минимум операторов в смене</t>
        </is>
      </c>
      <c r="B15" s="21" t="n">
        <v>1</v>
      </c>
      <c r="C15" s="10" t="inlineStr">
        <is>
          <t>чел</t>
        </is>
      </c>
      <c r="D15" s="32" t="inlineStr">
        <is>
          <t>F</t>
        </is>
      </c>
      <c r="E15" s="33" t="inlineStr"/>
      <c r="F15" s="9" t="inlineStr">
        <is>
          <t>Допущение команды: на объекте с роботами всегда есть хотя бы один дежурный в смене</t>
        </is>
      </c>
    </row>
    <row r="16">
      <c r="A16" s="10" t="inlineStr">
        <is>
          <t>Горизонт расчета</t>
        </is>
      </c>
      <c r="B16" s="21" t="n">
        <v>5</v>
      </c>
      <c r="C16" s="10" t="inlineStr">
        <is>
          <t>лет</t>
        </is>
      </c>
      <c r="D16" s="32" t="inlineStr">
        <is>
          <t>D</t>
        </is>
      </c>
      <c r="E16" s="33" t="inlineStr"/>
      <c r="F16" s="9" t="inlineStr">
        <is>
          <t>Отраслевой датасет по складам, лист «Склад»: горизонт окупаемости 5 лет (3-10)</t>
        </is>
      </c>
    </row>
    <row r="17">
      <c r="A17" s="10" t="inlineStr">
        <is>
          <t>Тариф на электроэнергию</t>
        </is>
      </c>
      <c r="B17" s="21" t="n">
        <v>9</v>
      </c>
      <c r="C17" s="10" t="inlineStr">
        <is>
          <t>₽/кВт·ч</t>
        </is>
      </c>
      <c r="D17" s="32" t="inlineStr">
        <is>
          <t>F</t>
        </is>
      </c>
      <c r="E17" s="33" t="inlineStr"/>
      <c r="F17" s="9" t="inlineStr">
        <is>
          <t>Нет подтвержденного источника: взять предельный уровень нерегулируемых цен на mosenergosbyt.ru, СН2/НН</t>
        </is>
      </c>
    </row>
    <row r="18">
      <c r="A18" s="10" t="inlineStr">
        <is>
          <t>Рост зарплат в год</t>
        </is>
      </c>
      <c r="B18" s="21" t="n">
        <v>0.07000000000000001</v>
      </c>
      <c r="C18" s="10" t="inlineStr">
        <is>
          <t>доля</t>
        </is>
      </c>
      <c r="D18" s="32" t="inlineStr">
        <is>
          <t>C</t>
        </is>
      </c>
      <c r="E18" s="33" t="inlineStr"/>
      <c r="F18" s="9" t="inlineStr">
        <is>
          <t>Сценарные условия Минэкономразвития на 2027-2029, 12.05.2026, garant.ru/products/ipo/prime/doc/414115625/: +6,5% (2027), +6,9% (2028), +7,1% (2029), берем около 7%</t>
        </is>
      </c>
    </row>
    <row r="19">
      <c r="A19" s="10" t="inlineStr">
        <is>
          <t>Перемещений паллет в сутки</t>
        </is>
      </c>
      <c r="B19" s="21" t="n">
        <v>2000</v>
      </c>
      <c r="C19" s="10" t="inlineStr">
        <is>
          <t>паллет/сут</t>
        </is>
      </c>
      <c r="D19" s="32" t="inlineStr">
        <is>
          <t>D</t>
        </is>
      </c>
      <c r="E19" s="33" t="inlineStr"/>
      <c r="F19" s="9" t="inlineStr">
        <is>
          <t>Отраслевой датасет по складам, лист «Склад»: приемка 1000 + отгрузка 1000</t>
        </is>
      </c>
    </row>
    <row r="20">
      <c r="A20" s="10" t="inlineStr">
        <is>
          <t>Масса паллеты с грузом</t>
        </is>
      </c>
      <c r="B20" s="21" t="n">
        <v>800</v>
      </c>
      <c r="C20" s="10" t="inlineStr">
        <is>
          <t>кг</t>
        </is>
      </c>
      <c r="D20" s="32" t="inlineStr">
        <is>
          <t>D</t>
        </is>
      </c>
      <c r="E20" s="33" t="inlineStr"/>
      <c r="F20" s="9" t="inlineStr">
        <is>
          <t>Отраслевой датасет по складам, лист «Склад»: средняя масса грузовой единицы 800 кг (200-1500)</t>
        </is>
      </c>
    </row>
    <row r="21">
      <c r="A21" s="10" t="inlineStr">
        <is>
          <t>Доля перевозок для роботов</t>
        </is>
      </c>
      <c r="B21" s="21" t="n">
        <v>0.95</v>
      </c>
      <c r="C21" s="10" t="inlineStr">
        <is>
          <t>доля</t>
        </is>
      </c>
      <c r="D21" s="32" t="inlineStr">
        <is>
          <t>D</t>
        </is>
      </c>
      <c r="E21" s="33" t="inlineStr"/>
      <c r="F21" s="9" t="inlineStr">
        <is>
          <t>Отраслевой датасет по складам, лист «Склад»: негабарит 5% остается ручным</t>
        </is>
      </c>
    </row>
    <row r="22"/>
    <row r="23">
      <c r="A23" s="16" t="inlineStr">
        <is>
          <t>План объекта</t>
        </is>
      </c>
    </row>
    <row r="24">
      <c r="A24" s="10" t="inlineStr">
        <is>
          <t>Здание</t>
        </is>
      </c>
      <c r="B24" s="10" t="inlineStr">
        <is>
          <t>118 x 85</t>
        </is>
      </c>
      <c r="C24" s="10" t="inlineStr">
        <is>
          <t>м</t>
        </is>
      </c>
    </row>
    <row r="25">
      <c r="A25" s="10" t="inlineStr">
        <is>
          <t>Средний маршрут до буфера у ворот</t>
        </is>
      </c>
      <c r="B25" s="21" t="n">
        <v>65.7</v>
      </c>
      <c r="C25" s="10" t="inlineStr">
        <is>
          <t>м</t>
        </is>
      </c>
    </row>
    <row r="26">
      <c r="A26" s="10" t="inlineStr">
        <is>
          <t>Мест у ворот</t>
        </is>
      </c>
      <c r="B26" s="21" t="n">
        <v>10</v>
      </c>
      <c r="C26" s="10" t="inlineStr">
        <is>
          <t>шт</t>
        </is>
      </c>
    </row>
    <row r="27">
      <c r="A27" s="10" t="inlineStr">
        <is>
          <t>Проездов между рядами</t>
        </is>
      </c>
      <c r="B27" s="21" t="n">
        <v>18</v>
      </c>
      <c r="C27" s="10" t="inlineStr">
        <is>
          <t>шт</t>
        </is>
      </c>
    </row>
    <row r="28">
      <c r="A28" s="10" t="inlineStr">
        <is>
          <t>Самый узкий проезд</t>
        </is>
      </c>
      <c r="B28" s="21" t="n">
        <v>3.5</v>
      </c>
      <c r="C28" s="10" t="inlineStr">
        <is>
          <t>м</t>
        </is>
      </c>
    </row>
    <row r="29">
      <c r="A29" s="10" t="inlineStr">
        <is>
          <t>Верхний ярус</t>
        </is>
      </c>
      <c r="B29" s="21" t="n">
        <v>6.8</v>
      </c>
      <c r="C29" s="10" t="inlineStr">
        <is>
          <t>м</t>
        </is>
      </c>
    </row>
    <row r="30">
      <c r="A30" s="10" t="inlineStr">
        <is>
          <t>Пандусов</t>
        </is>
      </c>
      <c r="B30" s="21" t="n">
        <v>0</v>
      </c>
      <c r="C30" s="10" t="inlineStr">
        <is>
          <t>шт</t>
        </is>
      </c>
    </row>
  </sheetData>
  <pageMargins left="0.75" right="0.75" top="1" bottom="1" header="0.5" footer="0.5"/>
  <pageSetup orientation="landscape" paperSize="9" fitToHeight="0" fitToWidth="1"/>
  <headerFooter>
    <oddHeader/>
    <oddFooter>&amp;LРасклад · предварительная оценка&amp;RЛист &amp;P из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H7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14" customWidth="1" min="3" max="3"/>
    <col width="18" customWidth="1" min="4" max="4"/>
    <col width="9" customWidth="1" min="5" max="5"/>
    <col width="70" customWidth="1" min="6" max="6"/>
    <col width="10" customWidth="1" min="7" max="7"/>
    <col width="44" customWidth="1" min="8" max="8"/>
  </cols>
  <sheetData>
    <row r="1" ht="22" customHeight="1">
      <c r="A1" s="1" t="inlineStr">
        <is>
          <t>Откуда цифры</t>
        </is>
      </c>
    </row>
    <row r="2">
      <c r="A2" s="2" t="inlineStr">
        <is>
          <t>Склад, перевозка паллет между зонами · Ronavi H1500 (грузоподъемность до 1 500 кг) · расчет от 28.09.2026 22:10 мск · модель 0.2</t>
        </is>
      </c>
    </row>
    <row r="3">
      <c r="A3" s="3" t="inlineStr">
        <is>
          <t>Предварительная оценка, не коммерческое предложение</t>
        </is>
      </c>
    </row>
    <row r="4">
      <c r="A4" s="2" t="inlineStr">
        <is>
          <t>Доверие: S закон или норматив, A проверено, B сходятся два источника, C один источник, D только организатор или СМИ, E источники расходятся, F наше допущение</t>
        </is>
      </c>
    </row>
    <row r="5">
      <c r="A5" s="4" t="inlineStr">
        <is>
          <t>Группа</t>
        </is>
      </c>
      <c r="B5" s="5" t="inlineStr">
        <is>
          <t>Значение</t>
        </is>
      </c>
      <c r="C5" s="5" t="inlineStr">
        <is>
          <t>Число</t>
        </is>
      </c>
      <c r="D5" s="5" t="inlineStr">
        <is>
          <t>Единица</t>
        </is>
      </c>
      <c r="E5" s="5" t="inlineStr">
        <is>
          <t>Доверие</t>
        </is>
      </c>
      <c r="F5" s="5" t="inlineStr">
        <is>
          <t>Источник</t>
        </is>
      </c>
      <c r="G5" s="5" t="inlineStr">
        <is>
          <t>Дата</t>
        </is>
      </c>
      <c r="H5" s="5" t="inlineStr">
        <is>
          <t>Путь в модели</t>
        </is>
      </c>
    </row>
    <row r="6">
      <c r="A6" s="9" t="inlineStr">
        <is>
          <t>Решение</t>
        </is>
      </c>
      <c r="B6" s="10" t="inlineStr">
        <is>
          <t>Средняя мощность</t>
        </is>
      </c>
      <c r="C6" s="21" t="n">
        <v>0.72</v>
      </c>
      <c r="D6" s="9" t="inlineStr">
        <is>
          <t>кВт</t>
        </is>
      </c>
      <c r="E6" s="32" t="inlineStr">
        <is>
          <t>C</t>
        </is>
      </c>
      <c r="F6" s="9" t="inlineStr">
        <is>
          <t>Паспорт Ronavi H1500 (robob2b.ru): батарея 60 А*ч при 48 В, 2,88 кВт*ч, не менее 4 ч работы; 2,88 / 4 = 0,72 кВт, верхняя оценка средней мощности</t>
        </is>
      </c>
      <c r="G6" s="9" t="inlineStr">
        <is>
          <t>2026-09</t>
        </is>
      </c>
      <c r="H6" s="9" t="inlineStr">
        <is>
          <t>robots.ronavi-h1500.avg_power_kw</t>
        </is>
      </c>
    </row>
    <row r="7">
      <c r="A7" s="9" t="inlineStr">
        <is>
          <t>Решение</t>
        </is>
      </c>
      <c r="B7" s="10" t="inlineStr">
        <is>
          <t>Средняя скорость</t>
        </is>
      </c>
      <c r="C7" s="21" t="n">
        <v>1</v>
      </c>
      <c r="D7" s="9" t="inlineStr">
        <is>
          <t>м/с</t>
        </is>
      </c>
      <c r="E7" s="32" t="inlineStr">
        <is>
          <t>C</t>
        </is>
      </c>
      <c r="F7" s="9" t="inlineStr">
        <is>
          <t>Ronavi, разбор цикла 24.04.2025: «Средняя скорость робота: 1 м/с. Длина маршрута в одну сторону: 60 м, полный цикл 120 м, около 120 секунд»</t>
        </is>
      </c>
      <c r="G7" s="9" t="inlineStr">
        <is>
          <t>2025-04</t>
        </is>
      </c>
      <c r="H7" s="9" t="inlineStr">
        <is>
          <t>robots.ronavi-h1500.avg_speed_m_s</t>
        </is>
      </c>
    </row>
    <row r="8">
      <c r="A8" s="9" t="inlineStr">
        <is>
          <t>Решение</t>
        </is>
      </c>
      <c r="B8" s="10" t="inlineStr">
        <is>
          <t>Срок службы аккумулятора</t>
        </is>
      </c>
      <c r="C8" s="21" t="n">
        <v>3</v>
      </c>
      <c r="D8" s="9" t="inlineStr">
        <is>
          <t>лет</t>
        </is>
      </c>
      <c r="E8" s="32" t="inlineStr">
        <is>
          <t>D</t>
        </is>
      </c>
      <c r="F8" s="9" t="inlineStr">
        <is>
          <t>Отраслевой датасет по складам, лист «Легенда»: замена АКБ раз в 3-5 лет; при работе 22 ч без выходных берем 3</t>
        </is>
      </c>
      <c r="G8" s="9" t="inlineStr">
        <is>
          <t>2026-09</t>
        </is>
      </c>
      <c r="H8" s="9" t="inlineStr">
        <is>
          <t>robots.ronavi-h1500.battery_life_years</t>
        </is>
      </c>
    </row>
    <row r="9">
      <c r="A9" s="9" t="inlineStr">
        <is>
          <t>Решение</t>
        </is>
      </c>
      <c r="B9" s="10" t="inlineStr">
        <is>
          <t>Цена аккумулятора</t>
        </is>
      </c>
      <c r="C9" s="21" t="n">
        <v>158000</v>
      </c>
      <c r="D9" s="9" t="inlineStr">
        <is>
          <t>₽</t>
        </is>
      </c>
      <c r="E9" s="32" t="inlineStr">
        <is>
          <t>D</t>
        </is>
      </c>
      <c r="F9" s="9" t="inlineStr">
        <is>
          <t>Паспорт Ronavi H1500: 2,88 кВт*ч * 55 000 руб; тяговая LiFePO4 48 В 100 А*ч за 168 800 и 265 200 руб (интеграторы, аналог), 35-55 тыс. руб за кВт*ч, берем худшее 55 тыс.</t>
        </is>
      </c>
      <c r="G9" s="9" t="inlineStr">
        <is>
          <t>2026-09</t>
        </is>
      </c>
      <c r="H9" s="9" t="inlineStr">
        <is>
          <t>robots.ronavi-h1500.battery_price_rub</t>
        </is>
      </c>
    </row>
    <row r="10">
      <c r="A10" s="9" t="inlineStr">
        <is>
          <t>Решение</t>
        </is>
      </c>
      <c r="B10" s="10" t="inlineStr">
        <is>
          <t>Время зарядки</t>
        </is>
      </c>
      <c r="C10" s="21" t="n">
        <v>0.3</v>
      </c>
      <c r="D10" s="9" t="inlineStr">
        <is>
          <t>ч</t>
        </is>
      </c>
      <c r="E10" s="32" t="inlineStr">
        <is>
          <t>E</t>
        </is>
      </c>
      <c r="F10" s="9" t="inlineStr">
        <is>
          <t>Каталог организатора catalog_export_v4: зарядка 0,3 ч, быстрая зарядка у производителя около 18 мин; полная по паспорту 80 мин (data/specs/specs.csv)</t>
        </is>
      </c>
      <c r="G10" s="9" t="inlineStr">
        <is>
          <t>2026-09</t>
        </is>
      </c>
      <c r="H10" s="9" t="inlineStr">
        <is>
          <t>robots.ronavi-h1500.charge_time_h</t>
        </is>
      </c>
    </row>
    <row r="11">
      <c r="A11" s="9" t="inlineStr">
        <is>
          <t>Решение</t>
        </is>
      </c>
      <c r="B11" s="10" t="inlineStr">
        <is>
          <t>Цена зарядной станции</t>
        </is>
      </c>
      <c r="C11" s="21" t="n">
        <v>450000</v>
      </c>
      <c r="D11" s="9" t="inlineStr">
        <is>
          <t>₽</t>
        </is>
      </c>
      <c r="E11" s="32" t="inlineStr">
        <is>
          <t>C</t>
        </is>
      </c>
      <c r="F11" s="9" t="inlineStr">
        <is>
          <t>Ronavi Charger 450 000 руб, ronavi-robotics.ru/catalogue/charger (в статье Ronavi 2025 года 200-400 тыс.)</t>
        </is>
      </c>
      <c r="G11" s="9" t="inlineStr">
        <is>
          <t>2026-09</t>
        </is>
      </c>
      <c r="H11" s="9" t="inlineStr">
        <is>
          <t>robots.ronavi-h1500.charger_price_rub</t>
        </is>
      </c>
    </row>
    <row r="12">
      <c r="A12" s="9" t="inlineStr">
        <is>
          <t>Решение</t>
        </is>
      </c>
      <c r="B12" s="10" t="inlineStr">
        <is>
          <t>Пусконаладка, доля цены</t>
        </is>
      </c>
      <c r="C12" s="21" t="n">
        <v>0.1</v>
      </c>
      <c r="D12" s="9" t="inlineStr">
        <is>
          <t>доля цены робота</t>
        </is>
      </c>
      <c r="E12" s="32" t="inlineStr">
        <is>
          <t>F</t>
        </is>
      </c>
      <c r="F12" s="9" t="inlineStr">
        <is>
          <t>Нет источника: доля от стоимости оборудования. У лизинговой CHG-MERIDIAN «+30% к оборудованию», но туда входит интеграция, которую мы считаем отдельно в затратах объекта</t>
        </is>
      </c>
      <c r="G12" s="9" t="n"/>
      <c r="H12" s="9" t="inlineStr">
        <is>
          <t>robots.ronavi-h1500.commissioning_share</t>
        </is>
      </c>
    </row>
    <row r="13">
      <c r="A13" s="9" t="inlineStr">
        <is>
          <t>Решение</t>
        </is>
      </c>
      <c r="B13" s="10" t="inlineStr">
        <is>
          <t>Погрузка и выгрузка за рейс</t>
        </is>
      </c>
      <c r="C13" s="21" t="n">
        <v>20</v>
      </c>
      <c r="D13" s="9" t="inlineStr">
        <is>
          <t>с</t>
        </is>
      </c>
      <c r="E13" s="32" t="inlineStr">
        <is>
          <t>C</t>
        </is>
      </c>
      <c r="F13" s="9" t="inlineStr">
        <is>
          <t>Сумма подтвержденного: подъем 3-6 с и опускание столько же (Geek+ P-series «Minimum Lifting Time 4 s», MiR EU Pallet Lift 60 мм при 10 мм/с), развороты 4-5 с (Geek+ «90°/1.5s»); доводка и ожидание у точки 5-10 с источника не имеют</t>
        </is>
      </c>
      <c r="G13" s="9" t="inlineStr">
        <is>
          <t>2026-09</t>
        </is>
      </c>
      <c r="H13" s="9" t="inlineStr">
        <is>
          <t>robots.ronavi-h1500.handling_s</t>
        </is>
      </c>
    </row>
    <row r="14">
      <c r="A14" s="9" t="inlineStr">
        <is>
          <t>Решение</t>
        </is>
      </c>
      <c r="B14" s="10" t="inlineStr">
        <is>
          <t>Лицензия ПО в год</t>
        </is>
      </c>
      <c r="C14" s="21" t="n">
        <v>60000</v>
      </c>
      <c r="D14" s="9" t="inlineStr">
        <is>
          <t>₽ в год на робота</t>
        </is>
      </c>
      <c r="E14" s="32" t="inlineStr">
        <is>
          <t>D</t>
        </is>
      </c>
      <c r="F14" s="9" t="inlineStr">
        <is>
          <t>Robotsman RMS: подписка 5 000 руб в месяц за робота (аналог: российская платформа управления роботами)</t>
        </is>
      </c>
      <c r="G14" s="9" t="inlineStr">
        <is>
          <t>2026-09</t>
        </is>
      </c>
      <c r="H14" s="9" t="inlineStr">
        <is>
          <t>robots.ronavi-h1500.license_rub_year</t>
        </is>
      </c>
    </row>
    <row r="15">
      <c r="A15" s="9" t="inlineStr">
        <is>
          <t>Решение</t>
        </is>
      </c>
      <c r="B15" s="10" t="inlineStr">
        <is>
          <t>Обслуживание в год, доля цены</t>
        </is>
      </c>
      <c r="C15" s="21" t="n">
        <v>0.1</v>
      </c>
      <c r="D15" s="9" t="inlineStr">
        <is>
          <t>доля цены в год</t>
        </is>
      </c>
      <c r="E15" s="32" t="inlineStr">
        <is>
          <t>C</t>
        </is>
      </c>
      <c r="F15" s="9" t="inlineStr">
        <is>
          <t>Ronavi: обслуживание «около 10% от стоимости в год (~300 тыс. руб.)» для H1500 (блог Ronavi, 16.05.2025)</t>
        </is>
      </c>
      <c r="G15" s="9" t="inlineStr">
        <is>
          <t>2026-09</t>
        </is>
      </c>
      <c r="H15" s="9" t="inlineStr">
        <is>
          <t>robots.ronavi-h1500.maintenance_share_year</t>
        </is>
      </c>
    </row>
    <row r="16">
      <c r="A16" s="9" t="inlineStr">
        <is>
          <t>Решение</t>
        </is>
      </c>
      <c r="B16" s="10" t="inlineStr">
        <is>
          <t>Рейсов в час по паспорту</t>
        </is>
      </c>
      <c r="C16" s="21" t="n">
        <v>0</v>
      </c>
      <c r="D16" s="9" t="inlineStr">
        <is>
          <t>рейсов в час</t>
        </is>
      </c>
      <c r="E16" s="32" t="inlineStr">
        <is>
          <t>F</t>
        </is>
      </c>
      <c r="F16" s="9" t="inlineStr">
        <is>
          <t>Не задан: 80-100 паллет/ч из отраслевых примеров дано для типовой короткой зоны, считаем от маршрута</t>
        </is>
      </c>
      <c r="G16" s="9" t="inlineStr">
        <is>
          <t>2026-09</t>
        </is>
      </c>
      <c r="H16" s="9" t="inlineStr">
        <is>
          <t>robots.ronavi-h1500.nominal_trips_per_hour</t>
        </is>
      </c>
    </row>
    <row r="17">
      <c r="A17" s="9" t="inlineStr">
        <is>
          <t>Решение</t>
        </is>
      </c>
      <c r="B17" s="10" t="inlineStr">
        <is>
          <t>Внимание оператора, минут в час</t>
        </is>
      </c>
      <c r="C17" s="21" t="n">
        <v>1.5</v>
      </c>
      <c r="D17" s="9" t="inlineStr">
        <is>
          <t>мин в час</t>
        </is>
      </c>
      <c r="E17" s="32" t="inlineStr">
        <is>
          <t>F</t>
        </is>
      </c>
      <c r="F17" s="9" t="inlineStr">
        <is>
          <t>Считаем от сбоев: если робот требует внимания раз в 2-4 часа и на разбор уходит 3-5 минут, это 0,75-2,5 минуты в час, берем середину. Один оператор тянет около 40 роботов. Сама модель не наша: в исследованиях человеко-машинного взаимодействия это fan-out = 1 + время автономной работы / время вмешательства (Olsen, Goodrich). Эмпирика дает 4-6 роботов на оператора для телеуправляемых машин и 100+ для автономных роев, склад ближе ко второму. Конкретной цифры для складских AMR никто не публикует, поэтому оценка остается F</t>
        </is>
      </c>
      <c r="G17" s="9" t="inlineStr">
        <is>
          <t>2026-09</t>
        </is>
      </c>
      <c r="H17" s="9" t="inlineStr">
        <is>
          <t>robots.ronavi-h1500.operator_attention_min_per_hour</t>
        </is>
      </c>
    </row>
    <row r="18">
      <c r="A18" s="9" t="inlineStr">
        <is>
          <t>Решение</t>
        </is>
      </c>
      <c r="B18" s="10" t="inlineStr">
        <is>
          <t>Цена робота</t>
        </is>
      </c>
      <c r="C18" s="21" t="n">
        <v>2700000</v>
      </c>
      <c r="D18" s="9" t="inlineStr">
        <is>
          <t>₽</t>
        </is>
      </c>
      <c r="E18" s="32" t="inlineStr">
        <is>
          <t>B</t>
        </is>
      </c>
      <c r="F18" s="9" t="inlineStr">
        <is>
          <t>Каталог роботизированных решений ФЦ БАС (с НДС); на сайте производителя 2,16-2,7 млн</t>
        </is>
      </c>
      <c r="G18" s="9" t="inlineStr">
        <is>
          <t>2026-09</t>
        </is>
      </c>
      <c r="H18" s="9" t="inlineStr">
        <is>
          <t>robots.ronavi-h1500.price_rub</t>
        </is>
      </c>
    </row>
    <row r="19">
      <c r="A19" s="9" t="inlineStr">
        <is>
          <t>Решение</t>
        </is>
      </c>
      <c r="B19" s="10" t="inlineStr">
        <is>
          <t>Срок договора аренды</t>
        </is>
      </c>
      <c r="C19" s="21" t="n">
        <v>36</v>
      </c>
      <c r="D19" s="9" t="inlineStr">
        <is>
          <t>мес.</t>
        </is>
      </c>
      <c r="E19" s="32" t="inlineStr">
        <is>
          <t>C</t>
        </is>
      </c>
      <c r="F19" s="9" t="inlineStr">
        <is>
          <t>Яндекс Роботикс: подписка на 36 мес; Ronavi: оплата за действие от ~30 мес (ronavi-robotics.ru/pricing)</t>
        </is>
      </c>
      <c r="G19" s="9" t="inlineStr">
        <is>
          <t>2026-09</t>
        </is>
      </c>
      <c r="H19" s="9" t="inlineStr">
        <is>
          <t>robots.ronavi-h1500.raas.contract_months</t>
        </is>
      </c>
    </row>
    <row r="20">
      <c r="A20" s="9" t="inlineStr">
        <is>
          <t>Решение</t>
        </is>
      </c>
      <c r="B20" s="10" t="inlineStr">
        <is>
          <t>Ответственность за порчу в аренде</t>
        </is>
      </c>
      <c r="C20" s="21" t="n">
        <v>0.01</v>
      </c>
      <c r="D20" s="9" t="inlineStr">
        <is>
          <t>доля цены в год</t>
        </is>
      </c>
      <c r="E20" s="32" t="inlineStr">
        <is>
          <t>F</t>
        </is>
      </c>
      <c r="F20" s="9" t="inlineStr">
        <is>
          <t>Нет источника: условие договора аренды</t>
        </is>
      </c>
      <c r="G20" s="9" t="n"/>
      <c r="H20" s="9" t="inlineStr">
        <is>
          <t>robots.ronavi-h1500.raas.damage_share_year</t>
        </is>
      </c>
    </row>
    <row r="21">
      <c r="A21" s="9" t="inlineStr">
        <is>
          <t>Решение</t>
        </is>
      </c>
      <c r="B21" s="10" t="inlineStr">
        <is>
          <t>Аренда в месяц</t>
        </is>
      </c>
      <c r="C21" s="21" t="n">
        <v>100000</v>
      </c>
      <c r="D21" s="9" t="inlineStr">
        <is>
          <t>₽ в месяц за робота</t>
        </is>
      </c>
      <c r="E21" s="32" t="inlineStr">
        <is>
          <t>D</t>
        </is>
      </c>
      <c r="F21" s="9" t="inlineStr">
        <is>
          <t>Ronavi H1500 по подписке «от 100 тыс. руб. в месяц», пресс-релиз РОСНАНО 27.09.2019, rusnano.com; цена 2019 года без индексации</t>
        </is>
      </c>
      <c r="G21" s="9" t="inlineStr">
        <is>
          <t>2026-09</t>
        </is>
      </c>
      <c r="H21" s="9" t="inlineStr">
        <is>
          <t>robots.ronavi-h1500.raas.fee_rub_month</t>
        </is>
      </c>
    </row>
    <row r="22">
      <c r="A22" s="9" t="inlineStr">
        <is>
          <t>Решение</t>
        </is>
      </c>
      <c r="B22" s="10" t="inlineStr">
        <is>
          <t>Присмотр за парком в аренде</t>
        </is>
      </c>
      <c r="C22" s="21" t="n">
        <v>0</v>
      </c>
      <c r="D22" s="9" t="inlineStr">
        <is>
          <t>доля</t>
        </is>
      </c>
      <c r="E22" s="32" t="inlineStr">
        <is>
          <t>F</t>
        </is>
      </c>
      <c r="F22" s="9" t="inlineStr">
        <is>
          <t>Сколько присмотра за парком берет на себя поставщик при аренде. У Автомакона в платеж входят «мониторинг и поддержка 24/7, диагностика, техническое обслуживание, запасные части, ремонт», у Ronavi «техподдержка и ПО». Но разбирать сбой на месте все равно кому-то надо, а доли никто не публикует. По умолчанию ноль: присмотр целиком на клиенте</t>
        </is>
      </c>
      <c r="G22" s="9" t="n"/>
      <c r="H22" s="9" t="inlineStr">
        <is>
          <t>robots.ronavi-h1500.raas.support_share</t>
        </is>
      </c>
    </row>
    <row r="23">
      <c r="A23" s="9" t="inlineStr">
        <is>
          <t>Решение</t>
        </is>
      </c>
      <c r="B23" s="10" t="inlineStr">
        <is>
          <t>Роботов на одну зарядку</t>
        </is>
      </c>
      <c r="C23" s="21" t="n">
        <v>4</v>
      </c>
      <c r="D23" s="9" t="inlineStr">
        <is>
          <t>роботов</t>
        </is>
      </c>
      <c r="E23" s="32" t="inlineStr">
        <is>
          <t>C</t>
        </is>
      </c>
      <c r="F23" s="9" t="inlineStr">
        <is>
          <t>Ronavi: «одна станция рассчитана на 4-5 роботов» (блог Ronavi, 24.04.2025), берем худшее 4</t>
        </is>
      </c>
      <c r="G23" s="9" t="inlineStr">
        <is>
          <t>2026-09</t>
        </is>
      </c>
      <c r="H23" s="9" t="inlineStr">
        <is>
          <t>robots.ronavi-h1500.robots_per_charger</t>
        </is>
      </c>
    </row>
    <row r="24">
      <c r="A24" s="9" t="inlineStr">
        <is>
          <t>Решение</t>
        </is>
      </c>
      <c r="B24" s="10" t="inlineStr">
        <is>
          <t>Работа от одной зарядки</t>
        </is>
      </c>
      <c r="C24" s="21" t="n">
        <v>6</v>
      </c>
      <c r="D24" s="9" t="inlineStr">
        <is>
          <t>ч</t>
        </is>
      </c>
      <c r="E24" s="32" t="inlineStr">
        <is>
          <t>E</t>
        </is>
      </c>
      <c r="F24" s="9" t="inlineStr">
        <is>
          <t>Каталог организатора catalog_export_v4: 6 ч работы от батареи. У производителя на сайте до 10 ч на окне заряда 80-20%, в паспорте (robob2b.ru) не менее 4 ч. По правилам данных остается цифра организатора (data/specs/specs.csv)</t>
        </is>
      </c>
      <c r="G24" s="9" t="inlineStr">
        <is>
          <t>2026-09</t>
        </is>
      </c>
      <c r="H24" s="9" t="inlineStr">
        <is>
          <t>robots.ronavi-h1500.run_time_h</t>
        </is>
      </c>
    </row>
    <row r="25">
      <c r="A25" s="9" t="inlineStr">
        <is>
          <t>Решение</t>
        </is>
      </c>
      <c r="B25" s="10" t="inlineStr">
        <is>
          <t>Срок службы робота</t>
        </is>
      </c>
      <c r="C25" s="21" t="n">
        <v>5</v>
      </c>
      <c r="D25" s="9" t="inlineStr">
        <is>
          <t>лет</t>
        </is>
      </c>
      <c r="E25" s="32" t="inlineStr">
        <is>
          <t>C</t>
        </is>
      </c>
      <c r="F25" s="9" t="inlineStr">
        <is>
          <t>Постановление № 1: промышленные транспортные роботы (ОКОФ 330.28.99.39.213), 3 группа 3-5 лет, audit-it.ru</t>
        </is>
      </c>
      <c r="G25" s="9" t="inlineStr">
        <is>
          <t>2026-09</t>
        </is>
      </c>
      <c r="H25" s="9" t="inlineStr">
        <is>
          <t>robots.ronavi-h1500.service_life_years</t>
        </is>
      </c>
    </row>
    <row r="26">
      <c r="A26" s="9" t="inlineStr">
        <is>
          <t>Решение</t>
        </is>
      </c>
      <c r="B26" s="10" t="inlineStr">
        <is>
          <t>ПО управления парком</t>
        </is>
      </c>
      <c r="C26" s="21" t="n">
        <v>1500000</v>
      </c>
      <c r="D26" s="9" t="inlineStr">
        <is>
          <t>₽</t>
        </is>
      </c>
      <c r="E26" s="32" t="inlineStr">
        <is>
          <t>D</t>
        </is>
      </c>
      <c r="F26" s="9" t="inlineStr">
        <is>
          <t>Ronavi: внедрение RMS 0,5-2 млн руб на проект; Robotsman RMS: бессрочная лицензия от 1 млн руб. Интеграцию с WMS считаем отдельно в затратах объекта</t>
        </is>
      </c>
      <c r="G26" s="9" t="inlineStr">
        <is>
          <t>2026-09</t>
        </is>
      </c>
      <c r="H26" s="9" t="inlineStr">
        <is>
          <t>robots.ronavi-h1500.software_rub</t>
        </is>
      </c>
    </row>
    <row r="27">
      <c r="A27" s="9" t="inlineStr">
        <is>
          <t>Решение</t>
        </is>
      </c>
      <c r="B27" s="10" t="inlineStr">
        <is>
          <t>Цена станции комплектации</t>
        </is>
      </c>
      <c r="C27" s="21" t="n">
        <v>0</v>
      </c>
      <c r="D27" s="9" t="inlineStr">
        <is>
          <t>₽</t>
        </is>
      </c>
      <c r="E27" s="32" t="inlineStr">
        <is>
          <t>F</t>
        </is>
      </c>
      <c r="F27" s="9" t="inlineStr">
        <is>
          <t>Не нужна для перевозки</t>
        </is>
      </c>
      <c r="G27" s="9" t="inlineStr">
        <is>
          <t>2026-09</t>
        </is>
      </c>
      <c r="H27" s="9" t="inlineStr">
        <is>
          <t>robots.ronavi-h1500.station_price_rub</t>
        </is>
      </c>
    </row>
    <row r="28">
      <c r="A28" s="9" t="inlineStr">
        <is>
          <t>Решение</t>
        </is>
      </c>
      <c r="B28" s="10" t="inlineStr">
        <is>
          <t>Загрузка робота</t>
        </is>
      </c>
      <c r="C28" s="21" t="n">
        <v>0.75</v>
      </c>
      <c r="D28" s="9" t="inlineStr">
        <is>
          <t>доля</t>
        </is>
      </c>
      <c r="E28" s="32" t="inlineStr">
        <is>
          <t>B</t>
        </is>
      </c>
      <c r="F28" s="9" t="inlineStr">
        <is>
          <t>Отраслевой датасет по складам, лист «Легенда»: загрузка AMR 70-85% (зарядка, простои, ожидание). Сходится с Ronavi: подзарядка 10-15 мин каждые 45-50 мин работы</t>
        </is>
      </c>
      <c r="G28" s="9" t="inlineStr">
        <is>
          <t>2026-09</t>
        </is>
      </c>
      <c r="H28" s="9" t="inlineStr">
        <is>
          <t>robots.ronavi-h1500.utilization</t>
        </is>
      </c>
    </row>
    <row r="29">
      <c r="A29" s="9" t="inlineStr">
        <is>
          <t>Деньги, налоги, цены</t>
        </is>
      </c>
      <c r="B29" s="10" t="inlineStr">
        <is>
          <t>Рабочих часов в году на ставку</t>
        </is>
      </c>
      <c r="C29" s="21" t="n">
        <v>1972</v>
      </c>
      <c r="D29" s="9" t="inlineStr">
        <is>
          <t>ч в год</t>
        </is>
      </c>
      <c r="E29" s="32" t="inlineStr">
        <is>
          <t>S</t>
        </is>
      </c>
      <c r="F29" s="9" t="inlineStr">
        <is>
          <t>Производственный календарь 2026, 40-часовая неделя, consultant.ru/law/ref/calendar/proizvodstvennye/2026/</t>
        </is>
      </c>
      <c r="G29" s="9" t="inlineStr">
        <is>
          <t>2026-09</t>
        </is>
      </c>
      <c r="H29" s="9" t="inlineStr">
        <is>
          <t>economics.annual_work_hours</t>
        </is>
      </c>
    </row>
    <row r="30">
      <c r="A30" s="9" t="inlineStr">
        <is>
          <t>Деньги, налоги, цены</t>
        </is>
      </c>
      <c r="B30" s="10" t="inlineStr">
        <is>
          <t>Резерв на непредвиденное, доля вложений</t>
        </is>
      </c>
      <c r="C30" s="21" t="n">
        <v>0.1</v>
      </c>
      <c r="D30" s="9" t="inlineStr">
        <is>
          <t>доля</t>
        </is>
      </c>
      <c r="E30" s="32" t="inlineStr">
        <is>
          <t>D</t>
        </is>
      </c>
      <c r="F30" s="9" t="inlineStr">
        <is>
          <t>Отраслевой датасет по складам, лист «Легенда»: CAPEX включает резерв 10%</t>
        </is>
      </c>
      <c r="G30" s="9" t="inlineStr">
        <is>
          <t>2026-09</t>
        </is>
      </c>
      <c r="H30" s="9" t="inlineStr">
        <is>
          <t>economics.capex_reserve_share</t>
        </is>
      </c>
    </row>
    <row r="31">
      <c r="A31" s="9" t="inlineStr">
        <is>
          <t>Деньги, налоги, цены</t>
        </is>
      </c>
      <c r="B31" s="10" t="inlineStr">
        <is>
          <t>Ставка дисконтирования</t>
        </is>
      </c>
      <c r="C31" s="21" t="n">
        <v>0.14</v>
      </c>
      <c r="D31" s="9" t="inlineStr">
        <is>
          <t>доля в год</t>
        </is>
      </c>
      <c r="E31" s="32" t="inlineStr">
        <is>
          <t>C</t>
        </is>
      </c>
      <c r="F31" s="9" t="inlineStr">
        <is>
          <t>Ключевая ставка ЦБ 14,00%, решение 11.09.2026, без премии за риск</t>
        </is>
      </c>
      <c r="G31" s="9" t="inlineStr">
        <is>
          <t>2026-09</t>
        </is>
      </c>
      <c r="H31" s="9" t="inlineStr">
        <is>
          <t>economics.discount_rate</t>
        </is>
      </c>
    </row>
    <row r="32">
      <c r="A32" s="9" t="inlineStr">
        <is>
          <t>Деньги, налоги, цены</t>
        </is>
      </c>
      <c r="B32" s="10" t="inlineStr">
        <is>
          <t>Рост цены электроэнергии в год</t>
        </is>
      </c>
      <c r="C32" s="21" t="n">
        <v>0.09</v>
      </c>
      <c r="D32" s="9" t="inlineStr">
        <is>
          <t>доля в год</t>
        </is>
      </c>
      <c r="E32" s="32" t="inlineStr">
        <is>
          <t>C</t>
        </is>
      </c>
      <c r="F32" s="9" t="inlineStr">
        <is>
          <t>Сценарные условия Минэкономразвития на 2027-2029, 12.05.2026, garant.ru/products/ipo/prime/doc/414115625/: сетевые тарифы для прочих +13,0% (2027), +8,9% (2028), +6,3% (2029), в среднем около 9%</t>
        </is>
      </c>
      <c r="G32" s="9" t="inlineStr">
        <is>
          <t>2026-09</t>
        </is>
      </c>
      <c r="H32" s="9" t="inlineStr">
        <is>
          <t>economics.energy_price_growth</t>
        </is>
      </c>
    </row>
    <row r="33">
      <c r="A33" s="9" t="inlineStr">
        <is>
          <t>Деньги, налоги, цены</t>
        </is>
      </c>
      <c r="B33" s="10" t="inlineStr">
        <is>
          <t>Тариф на электроэнергию</t>
        </is>
      </c>
      <c r="C33" s="21" t="n">
        <v>9</v>
      </c>
      <c r="D33" s="9" t="inlineStr">
        <is>
          <t>₽ за кВт·ч</t>
        </is>
      </c>
      <c r="E33" s="32" t="inlineStr">
        <is>
          <t>F</t>
        </is>
      </c>
      <c r="F33" s="9" t="inlineStr">
        <is>
          <t>Нет подтвержденного источника: взять предельный уровень нерегулируемых цен на mosenergosbyt.ru, СН2/НН</t>
        </is>
      </c>
      <c r="G33" s="9" t="n"/>
      <c r="H33" s="9" t="inlineStr">
        <is>
          <t>economics.energy_price_rub_kwh</t>
        </is>
      </c>
    </row>
    <row r="34">
      <c r="A34" s="9" t="inlineStr">
        <is>
          <t>Деньги, налоги, цены</t>
        </is>
      </c>
      <c r="B34" s="10" t="inlineStr">
        <is>
          <t>Горизонт расчета</t>
        </is>
      </c>
      <c r="C34" s="21" t="n">
        <v>5</v>
      </c>
      <c r="D34" s="9" t="inlineStr">
        <is>
          <t>лет</t>
        </is>
      </c>
      <c r="E34" s="32" t="inlineStr">
        <is>
          <t>D</t>
        </is>
      </c>
      <c r="F34" s="9" t="inlineStr">
        <is>
          <t>Отраслевой датасет по складам, лист «Склад»: горизонт окупаемости 5 лет (3-10)</t>
        </is>
      </c>
      <c r="G34" s="9" t="inlineStr">
        <is>
          <t>2026-09</t>
        </is>
      </c>
      <c r="H34" s="9" t="inlineStr">
        <is>
          <t>economics.horizon_years</t>
        </is>
      </c>
    </row>
    <row r="35">
      <c r="A35" s="9" t="inlineStr">
        <is>
          <t>Деньги, налоги, цены</t>
        </is>
      </c>
      <c r="B35" s="10" t="inlineStr">
        <is>
          <t>Инфляция в год</t>
        </is>
      </c>
      <c r="C35" s="21" t="n">
        <v>0.04</v>
      </c>
      <c r="D35" s="9" t="inlineStr">
        <is>
          <t>доля в год</t>
        </is>
      </c>
      <c r="E35" s="32" t="inlineStr">
        <is>
          <t>C</t>
        </is>
      </c>
      <c r="F35" s="9" t="inlineStr">
        <is>
          <t>Прогноз ЦБ 11.09.2026: 4,0% в 2027; МЭР: 4,0% в 2027-2029</t>
        </is>
      </c>
      <c r="G35" s="9" t="inlineStr">
        <is>
          <t>2026-09</t>
        </is>
      </c>
      <c r="H35" s="9" t="inlineStr">
        <is>
          <t>economics.inflation</t>
        </is>
      </c>
    </row>
    <row r="36">
      <c r="A36" s="9" t="inlineStr">
        <is>
          <t>Деньги, налоги, цены</t>
        </is>
      </c>
      <c r="B36" s="10" t="inlineStr">
        <is>
          <t>Границы оценки окупаемости, лет</t>
        </is>
      </c>
      <c r="C36" s="10" t="inlineStr">
        <is>
          <t>3 - 5</t>
        </is>
      </c>
      <c r="D36" s="9" t="inlineStr">
        <is>
          <t>лет</t>
        </is>
      </c>
      <c r="E36" s="32" t="inlineStr">
        <is>
          <t>S</t>
        </is>
      </c>
      <c r="F36" s="9" t="inlineStr">
        <is>
          <t>ТЗ, п. 3.5.7: интервалы до 3 лет, 3-5 лет, более 5 лет</t>
        </is>
      </c>
      <c r="G36" s="9" t="inlineStr">
        <is>
          <t>2026-09</t>
        </is>
      </c>
      <c r="H36" s="9" t="inlineStr">
        <is>
          <t>economics.payback_bands_years</t>
        </is>
      </c>
    </row>
    <row r="37">
      <c r="A37" s="9" t="inlineStr">
        <is>
          <t>Деньги, налоги, цены</t>
        </is>
      </c>
      <c r="B37" s="10" t="inlineStr">
        <is>
          <t>Найм одного человека, окладов</t>
        </is>
      </c>
      <c r="C37" s="21" t="n">
        <v>0</v>
      </c>
      <c r="D37" s="9" t="inlineStr">
        <is>
          <t>окладов</t>
        </is>
      </c>
      <c r="E37" s="32" t="inlineStr">
        <is>
          <t>F</t>
        </is>
      </c>
      <c r="F37" s="9" t="inlineStr">
        <is>
          <t>Нет источника, пока не учитываем</t>
        </is>
      </c>
      <c r="G37" s="9" t="n"/>
      <c r="H37" s="9" t="inlineStr">
        <is>
          <t>economics.payroll.hire_cost_months</t>
        </is>
      </c>
    </row>
    <row r="38">
      <c r="A38" s="9" t="inlineStr">
        <is>
          <t>Деньги, налоги, цены</t>
        </is>
      </c>
      <c r="B38" s="10" t="inlineStr">
        <is>
          <t>Взнос от несчастных случаев</t>
        </is>
      </c>
      <c r="C38" s="21" t="n">
        <v>0.006</v>
      </c>
      <c r="D38" s="9" t="inlineStr">
        <is>
          <t>доля оклада</t>
        </is>
      </c>
      <c r="E38" s="32" t="inlineStr">
        <is>
          <t>S</t>
        </is>
      </c>
      <c r="F38" s="9" t="inlineStr">
        <is>
          <t>ОКВЭД 52.10: 5 класс профриска (приказ Минтруда 851н), тариф 0,6% (179-ФЗ, 434-ФЗ). В датасете 0,2%</t>
        </is>
      </c>
      <c r="G38" s="9" t="inlineStr">
        <is>
          <t>2026-09</t>
        </is>
      </c>
      <c r="H38" s="9" t="inlineStr">
        <is>
          <t>economics.payroll.injury_insurance_rate</t>
        </is>
      </c>
    </row>
    <row r="39">
      <c r="A39" s="9" t="inlineStr">
        <is>
          <t>Деньги, налоги, цены</t>
        </is>
      </c>
      <c r="B39" s="10" t="inlineStr">
        <is>
          <t>Предельная база страховых взносов</t>
        </is>
      </c>
      <c r="C39" s="21" t="n">
        <v>2979000</v>
      </c>
      <c r="D39" s="9" t="inlineStr">
        <is>
          <t>₽ в год</t>
        </is>
      </c>
      <c r="E39" s="32" t="inlineStr">
        <is>
          <t>S</t>
        </is>
      </c>
      <c r="F39" s="9" t="inlineStr">
        <is>
          <t>Постановление Правительства от 31.10.2025 № 1705</t>
        </is>
      </c>
      <c r="G39" s="9" t="inlineStr">
        <is>
          <t>2026-09</t>
        </is>
      </c>
      <c r="H39" s="9" t="inlineStr">
        <is>
          <t>economics.payroll.insurance_base_limit_rub</t>
        </is>
      </c>
    </row>
    <row r="40">
      <c r="A40" s="9" t="inlineStr">
        <is>
          <t>Деньги, налоги, цены</t>
        </is>
      </c>
      <c r="B40" s="10" t="inlineStr">
        <is>
          <t>Страховые взносы</t>
        </is>
      </c>
      <c r="C40" s="21" t="n">
        <v>0.3</v>
      </c>
      <c r="D40" s="9" t="inlineStr">
        <is>
          <t>доля оклада</t>
        </is>
      </c>
      <c r="E40" s="32" t="inlineStr">
        <is>
          <t>S</t>
        </is>
      </c>
      <c r="F40" s="9" t="inlineStr">
        <is>
          <t>НК РФ ст. 425, редакция 04.08.2026</t>
        </is>
      </c>
      <c r="G40" s="9" t="inlineStr">
        <is>
          <t>2026-09</t>
        </is>
      </c>
      <c r="H40" s="9" t="inlineStr">
        <is>
          <t>economics.payroll.insurance_rate</t>
        </is>
      </c>
    </row>
    <row r="41">
      <c r="A41" s="9" t="inlineStr">
        <is>
          <t>Деньги, налоги, цены</t>
        </is>
      </c>
      <c r="B41" s="10" t="inlineStr">
        <is>
          <t>Взносы сверх предельной базы</t>
        </is>
      </c>
      <c r="C41" s="21" t="n">
        <v>0.151</v>
      </c>
      <c r="D41" s="9" t="inlineStr">
        <is>
          <t>доля оклада</t>
        </is>
      </c>
      <c r="E41" s="32" t="inlineStr">
        <is>
          <t>S</t>
        </is>
      </c>
      <c r="F41" s="9" t="inlineStr">
        <is>
          <t>НК РФ ст. 425, редакция 04.08.2026</t>
        </is>
      </c>
      <c r="G41" s="9" t="inlineStr">
        <is>
          <t>2026-09</t>
        </is>
      </c>
      <c r="H41" s="9" t="inlineStr">
        <is>
          <t>economics.payroll.insurance_rate_above_limit</t>
        </is>
      </c>
    </row>
    <row r="42">
      <c r="A42" s="9" t="inlineStr">
        <is>
          <t>Деньги, налоги, цены</t>
        </is>
      </c>
      <c r="B42" s="10" t="inlineStr">
        <is>
          <t>Текучесть персонала в год</t>
        </is>
      </c>
      <c r="C42" s="21" t="n">
        <v>0</v>
      </c>
      <c r="D42" s="9" t="inlineStr">
        <is>
          <t>доля в год</t>
        </is>
      </c>
      <c r="E42" s="32" t="inlineStr">
        <is>
          <t>F</t>
        </is>
      </c>
      <c r="F42" s="9" t="inlineStr">
        <is>
          <t>Для склада в датасете нет, пока не учитываем</t>
        </is>
      </c>
      <c r="G42" s="9" t="n"/>
      <c r="H42" s="9" t="inlineStr">
        <is>
          <t>economics.payroll.turnover_rate</t>
        </is>
      </c>
    </row>
    <row r="43">
      <c r="A43" s="9" t="inlineStr">
        <is>
          <t>Деньги, налоги, цены</t>
        </is>
      </c>
      <c r="B43" s="10" t="inlineStr">
        <is>
          <t>Спецодежда на человека в год</t>
        </is>
      </c>
      <c r="C43" s="21" t="n">
        <v>0</v>
      </c>
      <c r="D43" s="9" t="inlineStr">
        <is>
          <t>₽ в год</t>
        </is>
      </c>
      <c r="E43" s="32" t="inlineStr">
        <is>
          <t>F</t>
        </is>
      </c>
      <c r="F43" s="9" t="inlineStr">
        <is>
          <t>Нет источника, пока не учитываем</t>
        </is>
      </c>
      <c r="G43" s="9" t="n"/>
      <c r="H43" s="9" t="inlineStr">
        <is>
          <t>economics.payroll.workwear_rub_year</t>
        </is>
      </c>
    </row>
    <row r="44">
      <c r="A44" s="9" t="inlineStr">
        <is>
          <t>Деньги, налоги, цены</t>
        </is>
      </c>
      <c r="B44" s="10" t="inlineStr">
        <is>
          <t>Запас парка на пик</t>
        </is>
      </c>
      <c r="C44" s="21" t="n">
        <v>0.15</v>
      </c>
      <c r="D44" s="9" t="inlineStr">
        <is>
          <t>доля</t>
        </is>
      </c>
      <c r="E44" s="32" t="inlineStr">
        <is>
          <t>D</t>
        </is>
      </c>
      <c r="F44" s="9" t="inlineStr">
        <is>
          <t>Отраслевой датасет по складам, лист «Легенда»: резерв 15-20%, берем нижнюю границу</t>
        </is>
      </c>
      <c r="G44" s="9" t="inlineStr">
        <is>
          <t>2026-09</t>
        </is>
      </c>
      <c r="H44" s="9" t="inlineStr">
        <is>
          <t>economics.peak_reserve_share</t>
        </is>
      </c>
    </row>
    <row r="45">
      <c r="A45" s="9" t="inlineStr">
        <is>
          <t>Деньги, налоги, цены</t>
        </is>
      </c>
      <c r="B45" s="10" t="inlineStr">
        <is>
          <t>Рост зарплат в год</t>
        </is>
      </c>
      <c r="C45" s="21" t="n">
        <v>0.07000000000000001</v>
      </c>
      <c r="D45" s="9" t="inlineStr">
        <is>
          <t>доля в год</t>
        </is>
      </c>
      <c r="E45" s="32" t="inlineStr">
        <is>
          <t>C</t>
        </is>
      </c>
      <c r="F45" s="9" t="inlineStr">
        <is>
          <t>Сценарные условия Минэкономразвития на 2027-2029, 12.05.2026, garant.ru/products/ipo/prime/doc/414115625/: +6,5% (2027), +6,9% (2028), +7,1% (2029), берем около 7%</t>
        </is>
      </c>
      <c r="G45" s="9" t="inlineStr">
        <is>
          <t>2026-09</t>
        </is>
      </c>
      <c r="H45" s="9" t="inlineStr">
        <is>
          <t>economics.wage_growth</t>
        </is>
      </c>
    </row>
    <row r="46">
      <c r="A46" s="9" t="inlineStr">
        <is>
          <t>Объект и задачи</t>
        </is>
      </c>
      <c r="B46" s="10" t="inlineStr">
        <is>
          <t>Площадь зоны работы роботов</t>
        </is>
      </c>
      <c r="C46" s="21" t="n">
        <v>10000</v>
      </c>
      <c r="D46" s="9" t="inlineStr">
        <is>
          <t>м²</t>
        </is>
      </c>
      <c r="E46" s="32" t="inlineStr">
        <is>
          <t>D</t>
        </is>
      </c>
      <c r="F46" s="9" t="inlineStr">
        <is>
          <t>Отраслевой датасет по складам, лист «Склад»</t>
        </is>
      </c>
      <c r="G46" s="9" t="inlineStr">
        <is>
          <t>2026-09</t>
        </is>
      </c>
      <c r="H46" s="9" t="inlineStr">
        <is>
          <t>facilities.warehouse.active_area_m2</t>
        </is>
      </c>
    </row>
    <row r="47">
      <c r="A47" s="9" t="inlineStr">
        <is>
          <t>Объект и задачи</t>
        </is>
      </c>
      <c r="B47" s="10" t="inlineStr">
        <is>
          <t>Ширина проезда между рядами</t>
        </is>
      </c>
      <c r="C47" s="21" t="n">
        <v>2800</v>
      </c>
      <c r="D47" s="9" t="inlineStr">
        <is>
          <t>мм</t>
        </is>
      </c>
      <c r="E47" s="32" t="inlineStr">
        <is>
          <t>D</t>
        </is>
      </c>
      <c r="F47" s="9" t="inlineStr">
        <is>
          <t>Отраслевой датасет по складам, лист «Склад»: ширина рабочих проходов между стеллажами 2,8 м (1,5-4,5)</t>
        </is>
      </c>
      <c r="G47" s="9" t="inlineStr">
        <is>
          <t>2026-09</t>
        </is>
      </c>
      <c r="H47" s="9" t="inlineStr">
        <is>
          <t>facilities.warehouse.constraints.aisle_width_mm</t>
        </is>
      </c>
    </row>
    <row r="48">
      <c r="A48" s="9" t="inlineStr">
        <is>
          <t>Объект и задачи</t>
        </is>
      </c>
      <c r="B48" s="10" t="inlineStr">
        <is>
          <t>Высота потолка</t>
        </is>
      </c>
      <c r="C48" s="21" t="n">
        <v>10</v>
      </c>
      <c r="D48" s="9" t="inlineStr">
        <is>
          <t>м</t>
        </is>
      </c>
      <c r="E48" s="32" t="inlineStr">
        <is>
          <t>D</t>
        </is>
      </c>
      <c r="F48" s="9" t="inlineStr">
        <is>
          <t>Отраслевой датасет по складам, лист «Склад»: высота потолков в зоне хранения 10 м (5-16)</t>
        </is>
      </c>
      <c r="G48" s="9" t="inlineStr">
        <is>
          <t>2026-09</t>
        </is>
      </c>
      <c r="H48" s="9" t="inlineStr">
        <is>
          <t>facilities.warehouse.constraints.ceiling_m</t>
        </is>
      </c>
    </row>
    <row r="49">
      <c r="A49" s="9" t="inlineStr">
        <is>
          <t>Объект и задачи</t>
        </is>
      </c>
      <c r="B49" s="10" t="inlineStr">
        <is>
          <t>Ровность пола</t>
        </is>
      </c>
      <c r="C49" s="21" t="n">
        <v>3</v>
      </c>
      <c r="D49" s="9" t="inlineStr">
        <is>
          <t>мм</t>
        </is>
      </c>
      <c r="E49" s="32" t="inlineStr">
        <is>
          <t>D</t>
        </is>
      </c>
      <c r="F49" s="9" t="inlineStr">
        <is>
          <t>Отраслевой датасет по складам, лист «Склад»: отклонение 3 мм на 2 м (1-8), DIN 15185 или FM2</t>
        </is>
      </c>
      <c r="G49" s="9" t="inlineStr">
        <is>
          <t>2026-09</t>
        </is>
      </c>
      <c r="H49" s="9" t="inlineStr">
        <is>
          <t>facilities.warehouse.constraints.floor_flatness_mm</t>
        </is>
      </c>
    </row>
    <row r="50">
      <c r="A50" s="9" t="inlineStr">
        <is>
          <t>Объект и задачи</t>
        </is>
      </c>
      <c r="B50" s="10" t="inlineStr">
        <is>
          <t>Ширина главного проезда</t>
        </is>
      </c>
      <c r="C50" s="21" t="n">
        <v>3500</v>
      </c>
      <c r="D50" s="9" t="inlineStr">
        <is>
          <t>мм</t>
        </is>
      </c>
      <c r="E50" s="32" t="inlineStr">
        <is>
          <t>D</t>
        </is>
      </c>
      <c r="F50" s="9" t="inlineStr">
        <is>
          <t>Отраслевой датасет по складам, лист «Склад»: ширина главных проездов 3,5 м (2,5-6)</t>
        </is>
      </c>
      <c r="G50" s="9" t="inlineStr">
        <is>
          <t>2026-09</t>
        </is>
      </c>
      <c r="H50" s="9" t="inlineStr">
        <is>
          <t>facilities.warehouse.constraints.main_aisle_width_mm</t>
        </is>
      </c>
    </row>
    <row r="51">
      <c r="A51" s="9" t="inlineStr">
        <is>
          <t>Объект и задачи</t>
        </is>
      </c>
      <c r="B51" s="10" t="inlineStr">
        <is>
          <t>Доля отборов ходового товара</t>
        </is>
      </c>
      <c r="C51" s="21" t="n">
        <v>0.75</v>
      </c>
      <c r="D51" s="9" t="inlineStr">
        <is>
          <t>доля</t>
        </is>
      </c>
      <c r="E51" s="32" t="inlineStr">
        <is>
          <t>C</t>
        </is>
      </c>
      <c r="F51" s="9" t="inlineStr">
        <is>
          <t>Bartholdi, Hackman. Warehouse &amp; Distribution Science, версия 0.98.1 от 17.08.2019, рис. 14.1, с. 241: 5000 самых ходовых из 25 000 SKU дают больше 75% отборов; warehouse-science.com. Популярное правило 80/20 встречается только во вторичных источниках</t>
        </is>
      </c>
      <c r="G51" s="9" t="inlineStr">
        <is>
          <t>2026-09</t>
        </is>
      </c>
      <c r="H51" s="9" t="inlineStr">
        <is>
          <t>facilities.warehouse.fast_picks_share</t>
        </is>
      </c>
    </row>
    <row r="52">
      <c r="A52" s="9" t="inlineStr">
        <is>
          <t>Объект и задачи</t>
        </is>
      </c>
      <c r="B52" s="10" t="inlineStr">
        <is>
          <t>Доля ходового товара</t>
        </is>
      </c>
      <c r="C52" s="21" t="n">
        <v>0.2</v>
      </c>
      <c r="D52" s="9" t="inlineStr">
        <is>
          <t>доля</t>
        </is>
      </c>
      <c r="E52" s="32" t="inlineStr">
        <is>
          <t>D</t>
        </is>
      </c>
      <c r="F52" s="9" t="inlineStr">
        <is>
          <t>Отраслевой датасет по складам, лист «Склад»: доля SKU с быстрым оборотом (A-класс) 20% (10-40%). Считаем, что у каждой позиции свое место у стеллажа</t>
        </is>
      </c>
      <c r="G52" s="9" t="inlineStr">
        <is>
          <t>2026-09</t>
        </is>
      </c>
      <c r="H52" s="9" t="inlineStr">
        <is>
          <t>facilities.warehouse.fast_share</t>
        </is>
      </c>
    </row>
    <row r="53">
      <c r="A53" s="9" t="inlineStr">
        <is>
          <t>Объект и задачи</t>
        </is>
      </c>
      <c r="B53" s="10" t="inlineStr">
        <is>
          <t>Связь и сеть в год</t>
        </is>
      </c>
      <c r="C53" s="21" t="n">
        <v>300000</v>
      </c>
      <c r="D53" s="9" t="inlineStr">
        <is>
          <t>₽ в год</t>
        </is>
      </c>
      <c r="E53" s="32" t="inlineStr">
        <is>
          <t>F</t>
        </is>
      </c>
      <c r="F53" s="9" t="inlineStr">
        <is>
          <t>Нет источника</t>
        </is>
      </c>
      <c r="G53" s="9" t="n"/>
      <c r="H53" s="9" t="inlineStr">
        <is>
          <t>facilities.warehouse.implementation.communications_rub_year</t>
        </is>
      </c>
    </row>
    <row r="54">
      <c r="A54" s="9" t="inlineStr">
        <is>
          <t>Объект и задачи</t>
        </is>
      </c>
      <c r="B54" s="10" t="inlineStr">
        <is>
          <t>Подбор оператора</t>
        </is>
      </c>
      <c r="C54" s="21" t="n">
        <v>50000</v>
      </c>
      <c r="D54" s="9" t="inlineStr">
        <is>
          <t>₽ на человека</t>
        </is>
      </c>
      <c r="E54" s="32" t="inlineStr">
        <is>
          <t>F</t>
        </is>
      </c>
      <c r="F54" s="9" t="inlineStr">
        <is>
          <t>Нет источника: подбор оператора роботов с рынка, если замененных людей не хватает. Вакансии такие есть (RWB, X5 Tech), стоимости подбора нет</t>
        </is>
      </c>
      <c r="G54" s="9" t="n"/>
      <c r="H54" s="9" t="inlineStr">
        <is>
          <t>facilities.warehouse.implementation.hiring_rub_per_person</t>
        </is>
      </c>
    </row>
    <row r="55">
      <c r="A55" s="9" t="inlineStr">
        <is>
          <t>Объект и задачи</t>
        </is>
      </c>
      <c r="B55" s="10" t="inlineStr">
        <is>
          <t>Инфраструктура объекта</t>
        </is>
      </c>
      <c r="C55" s="21" t="n">
        <v>3000000</v>
      </c>
      <c r="D55" s="9" t="inlineStr">
        <is>
          <t>₽</t>
        </is>
      </c>
      <c r="E55" s="32" t="inlineStr">
        <is>
          <t>F</t>
        </is>
      </c>
      <c r="F55" s="9" t="inlineStr">
        <is>
          <t>Нет источника</t>
        </is>
      </c>
      <c r="G55" s="9" t="n"/>
      <c r="H55" s="9" t="inlineStr">
        <is>
          <t>facilities.warehouse.implementation.infrastructure_rub</t>
        </is>
      </c>
    </row>
    <row r="56">
      <c r="A56" s="9" t="inlineStr">
        <is>
          <t>Объект и задачи</t>
        </is>
      </c>
      <c r="B56" s="10" t="inlineStr">
        <is>
          <t>Интеграция с WMS</t>
        </is>
      </c>
      <c r="C56" s="21" t="n">
        <v>5000000</v>
      </c>
      <c r="D56" s="9" t="inlineStr">
        <is>
          <t>₽</t>
        </is>
      </c>
      <c r="E56" s="32" t="inlineStr">
        <is>
          <t>F</t>
        </is>
      </c>
      <c r="F56" s="9" t="inlineStr">
        <is>
          <t>Нет источника, нужно КП интегратора</t>
        </is>
      </c>
      <c r="G56" s="9" t="n"/>
      <c r="H56" s="9" t="inlineStr">
        <is>
          <t>facilities.warehouse.implementation.integration_rub</t>
        </is>
      </c>
    </row>
    <row r="57">
      <c r="A57" s="9" t="inlineStr">
        <is>
          <t>Объект и задачи</t>
        </is>
      </c>
      <c r="B57" s="10" t="inlineStr">
        <is>
          <t>Переобучение одного человека</t>
        </is>
      </c>
      <c r="C57" s="21" t="n">
        <v>10000</v>
      </c>
      <c r="D57" s="9" t="inlineStr">
        <is>
          <t>₽ на человека</t>
        </is>
      </c>
      <c r="E57" s="32" t="inlineStr">
        <is>
          <t>C</t>
        </is>
      </c>
      <c r="F57" s="9" t="inlineStr">
        <is>
          <t>Курсы ДПО «оператор механизированных и автоматизированных складов»: 5 000 руб (Grand School, 80 ч) и 12 491 руб (ЕВИДПО, 72 ч). Срок сходится с Ronavi: обучение оператора 1-2 недели</t>
        </is>
      </c>
      <c r="G57" s="9" t="inlineStr">
        <is>
          <t>2026-09</t>
        </is>
      </c>
      <c r="H57" s="9" t="inlineStr">
        <is>
          <t>facilities.warehouse.implementation.retraining_rub_per_person</t>
        </is>
      </c>
    </row>
    <row r="58">
      <c r="A58" s="9" t="inlineStr">
        <is>
          <t>Объект и задачи</t>
        </is>
      </c>
      <c r="B58" s="10" t="inlineStr">
        <is>
          <t>Минимум операторов в смене</t>
        </is>
      </c>
      <c r="C58" s="21" t="n">
        <v>1</v>
      </c>
      <c r="D58" s="9" t="inlineStr">
        <is>
          <t>человек в смену</t>
        </is>
      </c>
      <c r="E58" s="32" t="inlineStr">
        <is>
          <t>F</t>
        </is>
      </c>
      <c r="F58" s="9" t="inlineStr">
        <is>
          <t>Допущение команды: на объекте с роботами всегда есть хотя бы один дежурный в смене</t>
        </is>
      </c>
      <c r="G58" s="9" t="inlineStr">
        <is>
          <t>2026-09</t>
        </is>
      </c>
      <c r="H58" s="9" t="inlineStr">
        <is>
          <t>facilities.warehouse.min_operator_posts</t>
        </is>
      </c>
    </row>
    <row r="59">
      <c r="A59" s="9" t="inlineStr">
        <is>
          <t>Объект и задачи</t>
        </is>
      </c>
      <c r="B59" s="10" t="inlineStr">
        <is>
          <t>Доля перевозок для роботов</t>
        </is>
      </c>
      <c r="C59" s="21" t="n">
        <v>0.95</v>
      </c>
      <c r="D59" s="9" t="inlineStr">
        <is>
          <t>доля</t>
        </is>
      </c>
      <c r="E59" s="32" t="inlineStr">
        <is>
          <t>D</t>
        </is>
      </c>
      <c r="F59" s="9" t="inlineStr">
        <is>
          <t>Отраслевой датасет по складам, лист «Склад»: негабарит 5% остается ручным</t>
        </is>
      </c>
      <c r="G59" s="9" t="inlineStr">
        <is>
          <t>2026-09</t>
        </is>
      </c>
      <c r="H59" s="9" t="inlineStr">
        <is>
          <t>facilities.warehouse.operations.pallet_transport.automatable_share</t>
        </is>
      </c>
    </row>
    <row r="60">
      <c r="A60" s="9" t="inlineStr">
        <is>
          <t>Объект и задачи</t>
        </is>
      </c>
      <c r="B60" s="10" t="inlineStr">
        <is>
          <t>Масса паллеты с грузом</t>
        </is>
      </c>
      <c r="C60" s="21" t="n">
        <v>800</v>
      </c>
      <c r="D60" s="9" t="inlineStr">
        <is>
          <t>кг</t>
        </is>
      </c>
      <c r="E60" s="32" t="inlineStr">
        <is>
          <t>D</t>
        </is>
      </c>
      <c r="F60" s="9" t="inlineStr">
        <is>
          <t>Отраслевой датасет по складам, лист «Склад»: средняя масса грузовой единицы 800 кг (200-1500)</t>
        </is>
      </c>
      <c r="G60" s="9" t="inlineStr">
        <is>
          <t>2026-09</t>
        </is>
      </c>
      <c r="H60" s="9" t="inlineStr">
        <is>
          <t>facilities.warehouse.operations.pallet_transport.load_kg</t>
        </is>
      </c>
    </row>
    <row r="61">
      <c r="A61" s="9" t="inlineStr">
        <is>
          <t>Объект и задачи</t>
        </is>
      </c>
      <c r="B61" s="10" t="inlineStr">
        <is>
          <t>Операций за один рейс, перевозка паллет между зонами</t>
        </is>
      </c>
      <c r="C61" s="21" t="n">
        <v>1</v>
      </c>
      <c r="D61" s="9" t="inlineStr">
        <is>
          <t>операций</t>
        </is>
      </c>
      <c r="E61" s="32" t="inlineStr">
        <is>
          <t>S</t>
        </is>
      </c>
      <c r="F61" s="9" t="inlineStr">
        <is>
          <t>Одна паллета за рейс</t>
        </is>
      </c>
      <c r="G61" s="9" t="inlineStr">
        <is>
          <t>2026-09</t>
        </is>
      </c>
      <c r="H61" s="9" t="inlineStr">
        <is>
          <t>facilities.warehouse.operations.pallet_transport.ops_per_trip</t>
        </is>
      </c>
    </row>
    <row r="62">
      <c r="A62" s="9" t="inlineStr">
        <is>
          <t>Объект и задачи</t>
        </is>
      </c>
      <c r="B62" s="10" t="inlineStr">
        <is>
          <t>Перемещений паллет в сутки</t>
        </is>
      </c>
      <c r="C62" s="21" t="n">
        <v>2000</v>
      </c>
      <c r="D62" s="9" t="inlineStr">
        <is>
          <t>в сутки</t>
        </is>
      </c>
      <c r="E62" s="32" t="inlineStr">
        <is>
          <t>D</t>
        </is>
      </c>
      <c r="F62" s="9" t="inlineStr">
        <is>
          <t>Отраслевой датасет по складам, лист «Склад»: приемка 1000 + отгрузка 1000</t>
        </is>
      </c>
      <c r="G62" s="9" t="inlineStr">
        <is>
          <t>2026-09</t>
        </is>
      </c>
      <c r="H62" s="9" t="inlineStr">
        <is>
          <t>facilities.warehouse.operations.pallet_transport.volume_per_day</t>
        </is>
      </c>
    </row>
    <row r="63">
      <c r="A63" s="9" t="inlineStr">
        <is>
          <t>Объект и задачи</t>
        </is>
      </c>
      <c r="B63" s="10" t="inlineStr">
        <is>
          <t>Надбавка оператору роботов</t>
        </is>
      </c>
      <c r="C63" s="21" t="n">
        <v>0</v>
      </c>
      <c r="D63" s="9" t="inlineStr">
        <is>
          <t>доля</t>
        </is>
      </c>
      <c r="E63" s="32" t="inlineStr">
        <is>
          <t>F</t>
        </is>
      </c>
      <c r="F63" s="9" t="inlineStr">
        <is>
          <t>Оператор робозоны это переученный сотрудник той же роли. Яндекс Роботикс, раздел «Персонал»: «Сотрудники на точках отбора — операторы роботов». Надбавку за роботов никто не публикует, поэтому пока ноль. Для сравнения: сервисный инженер по роботам в Москве стоит 138-207 тыс. gross (4 вакансии hh.ru, сентябрь 2026), но это другая профессия</t>
        </is>
      </c>
      <c r="G63" s="9" t="n"/>
      <c r="H63" s="9" t="inlineStr">
        <is>
          <t>facilities.warehouse.operator_salary_premium</t>
        </is>
      </c>
    </row>
    <row r="64">
      <c r="A64" s="9" t="inlineStr">
        <is>
          <t>Объект и задачи</t>
        </is>
      </c>
      <c r="B64" s="10" t="inlineStr">
        <is>
          <t>Пиковый коэффициент нагрузки</t>
        </is>
      </c>
      <c r="C64" s="21" t="n">
        <v>1.5</v>
      </c>
      <c r="D64" s="9" t="inlineStr">
        <is>
          <t>раза</t>
        </is>
      </c>
      <c r="E64" s="32" t="inlineStr">
        <is>
          <t>D</t>
        </is>
      </c>
      <c r="F64" s="9" t="inlineStr">
        <is>
          <t>Отраслевой датасет по складам, лист «Склад»</t>
        </is>
      </c>
      <c r="G64" s="9" t="inlineStr">
        <is>
          <t>2026-09</t>
        </is>
      </c>
      <c r="H64" s="9" t="inlineStr">
        <is>
          <t>facilities.warehouse.peak_factor</t>
        </is>
      </c>
    </row>
    <row r="65">
      <c r="A65" s="9" t="inlineStr">
        <is>
          <t>Объект и задачи</t>
        </is>
      </c>
      <c r="B65" s="10" t="inlineStr">
        <is>
          <t>Рабочих дней в году</t>
        </is>
      </c>
      <c r="C65" s="21" t="n">
        <v>365</v>
      </c>
      <c r="D65" s="9" t="inlineStr">
        <is>
          <t>дней</t>
        </is>
      </c>
      <c r="E65" s="32" t="inlineStr">
        <is>
          <t>D</t>
        </is>
      </c>
      <c r="F65" s="9" t="inlineStr">
        <is>
          <t>Отраслевой датасет по складам, лист «Склад»</t>
        </is>
      </c>
      <c r="G65" s="9" t="inlineStr">
        <is>
          <t>2026-09</t>
        </is>
      </c>
      <c r="H65" s="9" t="inlineStr">
        <is>
          <t>facilities.warehouse.schedule.days_per_year</t>
        </is>
      </c>
    </row>
    <row r="66">
      <c r="A66" s="9" t="inlineStr">
        <is>
          <t>Объект и задачи</t>
        </is>
      </c>
      <c r="B66" s="10" t="inlineStr">
        <is>
          <t>Продолжительность смены</t>
        </is>
      </c>
      <c r="C66" s="21" t="n">
        <v>11</v>
      </c>
      <c r="D66" s="9" t="inlineStr">
        <is>
          <t>ч</t>
        </is>
      </c>
      <c r="E66" s="32" t="inlineStr">
        <is>
          <t>D</t>
        </is>
      </c>
      <c r="F66" s="9" t="inlineStr">
        <is>
          <t>Отраслевой датасет по складам, лист «Склад»</t>
        </is>
      </c>
      <c r="G66" s="9" t="inlineStr">
        <is>
          <t>2026-09</t>
        </is>
      </c>
      <c r="H66" s="9" t="inlineStr">
        <is>
          <t>facilities.warehouse.schedule.shift_hours</t>
        </is>
      </c>
    </row>
    <row r="67">
      <c r="A67" s="9" t="inlineStr">
        <is>
          <t>Объект и задачи</t>
        </is>
      </c>
      <c r="B67" s="10" t="inlineStr">
        <is>
          <t>Смен в сутки</t>
        </is>
      </c>
      <c r="C67" s="21" t="n">
        <v>2</v>
      </c>
      <c r="D67" s="9" t="inlineStr">
        <is>
          <t>смен</t>
        </is>
      </c>
      <c r="E67" s="32" t="inlineStr">
        <is>
          <t>D</t>
        </is>
      </c>
      <c r="F67" s="9" t="inlineStr">
        <is>
          <t>Отраслевой датасет по складам, лист «Склад»</t>
        </is>
      </c>
      <c r="G67" s="9" t="inlineStr">
        <is>
          <t>2026-09</t>
        </is>
      </c>
      <c r="H67" s="9" t="inlineStr">
        <is>
          <t>facilities.warehouse.schedule.shifts</t>
        </is>
      </c>
    </row>
    <row r="68">
      <c r="A68" s="9" t="inlineStr">
        <is>
          <t>Объект и задачи</t>
        </is>
      </c>
      <c r="B68" s="10" t="inlineStr">
        <is>
          <t>Активных SKU</t>
        </is>
      </c>
      <c r="C68" s="21" t="n">
        <v>2000</v>
      </c>
      <c r="D68" s="9" t="inlineStr">
        <is>
          <t>SKU</t>
        </is>
      </c>
      <c r="E68" s="32" t="inlineStr">
        <is>
          <t>D</t>
        </is>
      </c>
      <c r="F68" s="9" t="inlineStr">
        <is>
          <t>Отраслевой датасет по складам, лист «Склад»: активных SKU 2000 (1000-10000). В расчет не входит, описание склада для отчета</t>
        </is>
      </c>
      <c r="G68" s="9" t="inlineStr">
        <is>
          <t>2026-09</t>
        </is>
      </c>
      <c r="H68" s="9" t="inlineStr">
        <is>
          <t>facilities.warehouse.sku_count</t>
        </is>
      </c>
    </row>
    <row r="69">
      <c r="A69" s="9" t="inlineStr">
        <is>
          <t>Объект и задачи</t>
        </is>
      </c>
      <c r="B69" s="10" t="inlineStr">
        <is>
          <t>Товар разложен по ходовости</t>
        </is>
      </c>
      <c r="C69" s="21" t="n">
        <v>0</v>
      </c>
      <c r="D69" s="9" t="inlineStr">
        <is>
          <t>1 да, 0 нет</t>
        </is>
      </c>
      <c r="E69" s="32" t="inlineStr">
        <is>
          <t>F</t>
        </is>
      </c>
      <c r="F69" s="9" t="inlineStr">
        <is>
          <t>Выбор клиента: разложен ли товар по ходовости, 1 да, 0 нет. По умолчанию нет: так расчет осторожнее, а на Восток-Сервисе роботов и без этого вышло вдвое больше нашей формулы</t>
        </is>
      </c>
      <c r="G69" s="9" t="n"/>
      <c r="H69" s="9" t="inlineStr">
        <is>
          <t>facilities.warehouse.slotted_by_turnover</t>
        </is>
      </c>
    </row>
    <row r="70">
      <c r="A70" s="9" t="inlineStr">
        <is>
          <t>Объект и задачи</t>
        </is>
      </c>
      <c r="B70" s="10" t="inlineStr">
        <is>
          <t>Потери рабочего времени</t>
        </is>
      </c>
      <c r="C70" s="21" t="n">
        <v>0.25</v>
      </c>
      <c r="D70" s="9" t="inlineStr">
        <is>
          <t>доля</t>
        </is>
      </c>
      <c r="E70" s="32" t="inlineStr">
        <is>
          <t>D</t>
        </is>
      </c>
      <c r="F70" s="9" t="inlineStr">
        <is>
          <t>Отраслевой датасет по складам, лист «Склад»: +25% к нормативной численности</t>
        </is>
      </c>
      <c r="G70" s="9" t="inlineStr">
        <is>
          <t>2026-09</t>
        </is>
      </c>
      <c r="H70" s="9" t="inlineStr">
        <is>
          <t>facilities.warehouse.staff_loss_share</t>
        </is>
      </c>
    </row>
    <row r="71">
      <c r="A71" s="9" t="inlineStr">
        <is>
          <t>Допущения модели</t>
        </is>
      </c>
      <c r="B71" s="10" t="inlineStr">
        <is>
          <t>Поправка маршрута на повороты и объезды</t>
        </is>
      </c>
      <c r="C71" s="21" t="n">
        <v>0.75</v>
      </c>
      <c r="D71" s="9" t="inlineStr">
        <is>
          <t>от стороны зоны</t>
        </is>
      </c>
      <c r="E71" s="32" t="inlineStr">
        <is>
          <t>F</t>
        </is>
      </c>
      <c r="F71" s="9" t="inlineStr">
        <is>
          <t>Геометрия: квадратная зона, ворота посередине стороны, движение по проходам: среднее расстояние 0,25 + 0,5 стороны</t>
        </is>
      </c>
      <c r="G71" s="9" t="inlineStr">
        <is>
          <t>2026-09</t>
        </is>
      </c>
      <c r="H71" s="9" t="inlineStr">
        <is>
          <t>engine.geometry.route_factor</t>
        </is>
      </c>
    </row>
    <row r="72">
      <c r="A72" s="9" t="inlineStr">
        <is>
          <t>Допущения модели</t>
        </is>
      </c>
      <c r="B72" s="10" t="inlineStr">
        <is>
          <t>Запас высоты подъема над ярусом</t>
        </is>
      </c>
      <c r="C72" s="21" t="n">
        <v>1000</v>
      </c>
      <c r="D72" s="9" t="inlineStr">
        <is>
          <t>мм</t>
        </is>
      </c>
      <c r="E72" s="32" t="inlineStr">
        <is>
          <t>F</t>
        </is>
      </c>
      <c r="F72" s="9" t="inlineStr">
        <is>
          <t>Наше правило: подъем до метра это подхват паллеты с пола, выше это штабелирование в стеллаж. Только штабелерам проверяем, достают ли они до верхнего яруса</t>
        </is>
      </c>
      <c r="G72" s="9" t="n"/>
      <c r="H72" s="9" t="inlineStr">
        <is>
          <t>engine.selection.stacking_lift_mm</t>
        </is>
      </c>
    </row>
    <row r="73">
      <c r="A73" s="9" t="inlineStr">
        <is>
          <t>Допущения модели</t>
        </is>
      </c>
      <c r="B73" s="10" t="inlineStr">
        <is>
          <t>Роботов в строю</t>
        </is>
      </c>
      <c r="C73" s="21" t="n">
        <v>0.9</v>
      </c>
      <c r="D73" s="9" t="inlineStr">
        <is>
          <t>доля</t>
        </is>
      </c>
      <c r="E73" s="32" t="inlineStr">
        <is>
          <t>F</t>
        </is>
      </c>
      <c r="F73" s="9" t="inlineStr">
        <is>
          <t>Что остается от коэффициента загрузки после симуляции: очереди и зарядку она считает сама, остаются плановое ТО и мелкие простои. Источника нет, допущение команды</t>
        </is>
      </c>
      <c r="G73" s="9" t="n"/>
      <c r="H73" s="9" t="inlineStr">
        <is>
          <t>engine.simulation.availability</t>
        </is>
      </c>
    </row>
    <row r="74">
      <c r="A74" s="9" t="inlineStr">
        <is>
          <t>Допущения модели</t>
        </is>
      </c>
      <c r="B74" s="10" t="inlineStr">
        <is>
          <t>Часов пика в смене</t>
        </is>
      </c>
      <c r="C74" s="21" t="n">
        <v>2</v>
      </c>
      <c r="D74" s="9" t="inlineStr">
        <is>
          <t>ч</t>
        </is>
      </c>
      <c r="E74" s="32" t="inlineStr">
        <is>
          <t>F</t>
        </is>
      </c>
      <c r="F74" s="9" t="inlineStr">
        <is>
          <t>Нет источника: сколько длится пик. Датасет дает только отношение пикового часа к среднему (лист «Склад», 1,5), форму дня для склада не публикует никто. Берем два часа, допущение команды</t>
        </is>
      </c>
      <c r="G74" s="9" t="n"/>
      <c r="H74" s="9" t="inlineStr">
        <is>
          <t>engine.simulation.peak_hours</t>
        </is>
      </c>
    </row>
    <row r="75">
      <c r="A75" s="9" t="inlineStr">
        <is>
          <t>Допущения модели</t>
        </is>
      </c>
      <c r="B75" s="10" t="inlineStr">
        <is>
          <t>Роботов в одном проезде</t>
        </is>
      </c>
      <c r="C75" s="21" t="n">
        <v>3</v>
      </c>
      <c r="D75" s="9" t="inlineStr">
        <is>
          <t>роботов</t>
        </is>
      </c>
      <c r="E75" s="32" t="inlineStr">
        <is>
          <t>F</t>
        </is>
      </c>
      <c r="F75" s="9" t="inlineStr">
        <is>
          <t>Сколько роботов помещаются в одной части проезда между рядами, от поперечного проезда до поперечного. Источника нет: зависит от длины части и дистанции между роботами, допущение команды</t>
        </is>
      </c>
      <c r="G75" s="9" t="n"/>
      <c r="H75" s="9" t="inlineStr">
        <is>
          <t>engine.simulation.robots_per_aisle</t>
        </is>
      </c>
    </row>
    <row r="76">
      <c r="A76" s="9" t="inlineStr">
        <is>
          <t>Как платим за покупку</t>
        </is>
      </c>
      <c r="B76" s="10" t="inlineStr">
        <is>
          <t>Способ оплаты покупки</t>
        </is>
      </c>
      <c r="C76" s="21" t="n">
        <v>0</v>
      </c>
      <c r="D76" s="9" t="inlineStr">
        <is>
          <t>0 свои, 1 кредит, 2 лизинг</t>
        </is>
      </c>
      <c r="E76" s="32" t="inlineStr">
        <is>
          <t>S</t>
        </is>
      </c>
      <c r="F76" s="9" t="inlineStr">
        <is>
          <t>Выбор пользователя: 0 свои деньги, 1 кредит, 2 лизинг. По умолчанию свои деньги: так считает базовый сценарий в Дополнениях к ТЗ, п. 2.1</t>
        </is>
      </c>
      <c r="G76" s="9" t="inlineStr">
        <is>
          <t>2026-09</t>
        </is>
      </c>
      <c r="H76" s="9" t="inlineStr">
        <is>
          <t>financing.method</t>
        </is>
      </c>
    </row>
    <row r="77">
      <c r="A77" s="9" t="inlineStr">
        <is>
          <t>Выход на режим</t>
        </is>
      </c>
      <c r="B77" s="10" t="inlineStr">
        <is>
          <t>Выход на режим: эффект в первый месяц, перевозка и уборка</t>
        </is>
      </c>
      <c r="C77" s="21" t="n">
        <v>0.7</v>
      </c>
      <c r="D77" s="9" t="inlineStr">
        <is>
          <t>доля</t>
        </is>
      </c>
      <c r="E77" s="32" t="inlineStr">
        <is>
          <t>F</t>
        </is>
      </c>
      <c r="F77" s="9" t="inlineStr">
        <is>
          <t>Нет источника: сколько эффекта дают роботы в первый месяц. Про простые AMR пишут "up and running in days, not months" (Locus Robotics, Rapid Deployment), пилот Ronavi около 4 недель (ronavi-robotics.ru/industry/3pl); просадку 10-20% в первые две недели называет JIT Transportation без источника</t>
        </is>
      </c>
      <c r="G77" s="9" t="n"/>
      <c r="H77" s="9" t="inlineStr">
        <is>
          <t>ramp_up.simple.first_month_share</t>
        </is>
      </c>
    </row>
    <row r="78">
      <c r="A78" s="9" t="inlineStr">
        <is>
          <t>Выход на режим</t>
        </is>
      </c>
      <c r="B78" s="10" t="inlineStr">
        <is>
          <t>Выход на режим: месяцев до полного эффекта, перевозка и уборка</t>
        </is>
      </c>
      <c r="C78" s="21" t="n">
        <v>1</v>
      </c>
      <c r="D78" s="9" t="inlineStr">
        <is>
          <t>мес.</t>
        </is>
      </c>
      <c r="E78" s="32" t="inlineStr">
        <is>
          <t>F</t>
        </is>
      </c>
      <c r="F78" s="9" t="inlineStr">
        <is>
          <t>Нет источника: через сколько месяцев выход на полный эффект. Внедрение простых AMR 4-8 недель (6 River Systems, Ronavi)</t>
        </is>
      </c>
      <c r="G78" s="9" t="n"/>
      <c r="H78" s="9" t="inlineStr">
        <is>
          <t>ramp_up.simple.months</t>
        </is>
      </c>
    </row>
  </sheetData>
  <pageMargins left="0.75" right="0.75" top="1" bottom="1" header="0.5" footer="0.5"/>
  <pageSetup orientation="landscape" paperSize="9" fitToHeight="0" fitToWidth="1"/>
  <headerFooter>
    <oddHeader/>
    <oddFooter>&amp;LРасклад · предварительная оценка&amp;RЛист &amp;P из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2026-09-28T19:10:51Z</dcterms:created>
  <dcterms:modified xsi:type="dcterms:W3CDTF">2026-09-28T19:10:51Z</dcterms:modified>
</cp:coreProperties>
</file>